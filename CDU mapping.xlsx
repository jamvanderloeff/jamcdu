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mes\Documents\GitHub\jamcdu\"/>
    </mc:Choice>
  </mc:AlternateContent>
  <xr:revisionPtr revIDLastSave="0" documentId="13_ncr:1_{D7E30048-2650-4AC6-81D0-6F44469C218B}" xr6:coauthVersionLast="47" xr6:coauthVersionMax="47" xr10:uidLastSave="{00000000-0000-0000-0000-000000000000}"/>
  <bookViews>
    <workbookView xWindow="4410" yWindow="4845" windowWidth="35820" windowHeight="15885" xr2:uid="{74F5D8B6-2826-436C-A43B-1D8C6EB80D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46" i="1" l="1"/>
  <c r="AH47" i="1"/>
  <c r="AH48" i="1"/>
  <c r="AH49" i="1"/>
  <c r="AH50" i="1"/>
  <c r="AH51" i="1"/>
  <c r="AH52" i="1"/>
  <c r="AH53" i="1"/>
  <c r="AH54" i="1"/>
  <c r="AH55" i="1"/>
  <c r="AH45" i="1"/>
  <c r="AH20" i="1"/>
  <c r="AH21" i="1"/>
  <c r="AH22" i="1"/>
  <c r="AH23" i="1"/>
  <c r="AH24" i="1"/>
  <c r="AH25" i="1"/>
  <c r="AH26" i="1"/>
  <c r="AH27" i="1"/>
  <c r="AH28" i="1"/>
  <c r="AH29" i="1"/>
  <c r="AH19" i="1"/>
  <c r="Y46" i="1"/>
  <c r="Z46" i="1"/>
  <c r="AA46" i="1"/>
  <c r="AB46" i="1"/>
  <c r="AC46" i="1"/>
  <c r="AD46" i="1"/>
  <c r="AE46" i="1"/>
  <c r="AF46" i="1"/>
  <c r="Y47" i="1"/>
  <c r="Z47" i="1"/>
  <c r="AA47" i="1"/>
  <c r="AB47" i="1"/>
  <c r="AC47" i="1"/>
  <c r="AD47" i="1"/>
  <c r="AE47" i="1"/>
  <c r="AF47" i="1"/>
  <c r="Y48" i="1"/>
  <c r="Z48" i="1"/>
  <c r="AA48" i="1"/>
  <c r="AB48" i="1"/>
  <c r="AC48" i="1"/>
  <c r="AD48" i="1"/>
  <c r="AE48" i="1"/>
  <c r="AF48" i="1"/>
  <c r="Y49" i="1"/>
  <c r="Z49" i="1"/>
  <c r="AA49" i="1"/>
  <c r="AB49" i="1"/>
  <c r="AC49" i="1"/>
  <c r="AD49" i="1"/>
  <c r="AE49" i="1"/>
  <c r="AF49" i="1"/>
  <c r="Y50" i="1"/>
  <c r="Z50" i="1"/>
  <c r="AA50" i="1"/>
  <c r="AB50" i="1"/>
  <c r="AC50" i="1"/>
  <c r="AD50" i="1"/>
  <c r="AE50" i="1"/>
  <c r="AF50" i="1"/>
  <c r="Y51" i="1"/>
  <c r="Z51" i="1"/>
  <c r="AA51" i="1"/>
  <c r="AB51" i="1"/>
  <c r="AC51" i="1"/>
  <c r="AD51" i="1"/>
  <c r="AE51" i="1"/>
  <c r="AF51" i="1"/>
  <c r="Y52" i="1"/>
  <c r="Z52" i="1"/>
  <c r="AA52" i="1"/>
  <c r="AB52" i="1"/>
  <c r="AC52" i="1"/>
  <c r="AD52" i="1"/>
  <c r="AE52" i="1"/>
  <c r="AF52" i="1"/>
  <c r="Y53" i="1"/>
  <c r="Z53" i="1"/>
  <c r="AA53" i="1"/>
  <c r="AB53" i="1"/>
  <c r="AC53" i="1"/>
  <c r="AD53" i="1"/>
  <c r="AE53" i="1"/>
  <c r="AF53" i="1"/>
  <c r="Y54" i="1"/>
  <c r="Z54" i="1"/>
  <c r="AA54" i="1"/>
  <c r="AB54" i="1"/>
  <c r="AC54" i="1"/>
  <c r="AD54" i="1"/>
  <c r="AE54" i="1"/>
  <c r="AF54" i="1"/>
  <c r="Y55" i="1"/>
  <c r="Z55" i="1"/>
  <c r="AA55" i="1"/>
  <c r="AB55" i="1"/>
  <c r="AC55" i="1"/>
  <c r="AD55" i="1"/>
  <c r="AE55" i="1"/>
  <c r="AF55" i="1"/>
  <c r="Z45" i="1"/>
  <c r="AA45" i="1"/>
  <c r="AB45" i="1"/>
  <c r="AC45" i="1"/>
  <c r="AD45" i="1"/>
  <c r="AE45" i="1"/>
  <c r="AF45" i="1"/>
  <c r="Y45" i="1"/>
  <c r="K36" i="1"/>
  <c r="Z19" i="1"/>
  <c r="AA19" i="1"/>
  <c r="AB19" i="1"/>
  <c r="AC19" i="1"/>
  <c r="AD19" i="1"/>
  <c r="AE19" i="1"/>
  <c r="AF19" i="1"/>
  <c r="Z20" i="1"/>
  <c r="AA20" i="1"/>
  <c r="AB20" i="1"/>
  <c r="AC20" i="1"/>
  <c r="AD20" i="1"/>
  <c r="AE20" i="1"/>
  <c r="AF20" i="1"/>
  <c r="Z21" i="1"/>
  <c r="AA21" i="1"/>
  <c r="AB21" i="1"/>
  <c r="AC21" i="1"/>
  <c r="AD21" i="1"/>
  <c r="AE21" i="1"/>
  <c r="AF21" i="1"/>
  <c r="Z22" i="1"/>
  <c r="AA22" i="1"/>
  <c r="AB22" i="1"/>
  <c r="AC22" i="1"/>
  <c r="AD22" i="1"/>
  <c r="AE22" i="1"/>
  <c r="AF22" i="1"/>
  <c r="Z23" i="1"/>
  <c r="AA23" i="1"/>
  <c r="AB23" i="1"/>
  <c r="AC23" i="1"/>
  <c r="AD23" i="1"/>
  <c r="AE23" i="1"/>
  <c r="AF23" i="1"/>
  <c r="Z24" i="1"/>
  <c r="AA24" i="1"/>
  <c r="AB24" i="1"/>
  <c r="AC24" i="1"/>
  <c r="AD24" i="1"/>
  <c r="AE24" i="1"/>
  <c r="AF24" i="1"/>
  <c r="Z25" i="1"/>
  <c r="AA25" i="1"/>
  <c r="AB25" i="1"/>
  <c r="AC25" i="1"/>
  <c r="AD25" i="1"/>
  <c r="AE25" i="1"/>
  <c r="AF25" i="1"/>
  <c r="Z26" i="1"/>
  <c r="AA26" i="1"/>
  <c r="AB26" i="1"/>
  <c r="AC26" i="1"/>
  <c r="AD26" i="1"/>
  <c r="AE26" i="1"/>
  <c r="AF26" i="1"/>
  <c r="Z27" i="1"/>
  <c r="AA27" i="1"/>
  <c r="AB27" i="1"/>
  <c r="AC27" i="1"/>
  <c r="AD27" i="1"/>
  <c r="AE27" i="1"/>
  <c r="AF27" i="1"/>
  <c r="Z28" i="1"/>
  <c r="AA28" i="1"/>
  <c r="AB28" i="1"/>
  <c r="AC28" i="1"/>
  <c r="AD28" i="1"/>
  <c r="AE28" i="1"/>
  <c r="AF28" i="1"/>
  <c r="Z29" i="1"/>
  <c r="AA29" i="1"/>
  <c r="AB29" i="1"/>
  <c r="AC29" i="1"/>
  <c r="AD29" i="1"/>
  <c r="AE29" i="1"/>
  <c r="AF29" i="1"/>
  <c r="Y20" i="1"/>
  <c r="Y21" i="1"/>
  <c r="Y22" i="1"/>
  <c r="Y23" i="1"/>
  <c r="Y24" i="1"/>
  <c r="Y25" i="1"/>
  <c r="Y26" i="1"/>
  <c r="Y27" i="1"/>
  <c r="Y28" i="1"/>
  <c r="Y29" i="1"/>
  <c r="Y19" i="1"/>
  <c r="T20" i="1"/>
  <c r="T21" i="1"/>
  <c r="T22" i="1"/>
  <c r="T23" i="1"/>
  <c r="T24" i="1"/>
  <c r="T25" i="1"/>
  <c r="T26" i="1"/>
  <c r="T27" i="1"/>
  <c r="T28" i="1"/>
  <c r="T19" i="1"/>
  <c r="T29" i="1"/>
  <c r="T46" i="1"/>
  <c r="T47" i="1"/>
  <c r="T48" i="1"/>
  <c r="T49" i="1"/>
  <c r="T50" i="1"/>
  <c r="T51" i="1"/>
  <c r="T52" i="1"/>
  <c r="T53" i="1"/>
  <c r="T54" i="1"/>
  <c r="T55" i="1"/>
  <c r="T45" i="1"/>
  <c r="S45" i="1"/>
  <c r="L45" i="1"/>
  <c r="M45" i="1"/>
  <c r="N45" i="1"/>
  <c r="O45" i="1"/>
  <c r="P45" i="1"/>
  <c r="Q45" i="1"/>
  <c r="R45" i="1"/>
  <c r="L46" i="1"/>
  <c r="M46" i="1"/>
  <c r="N46" i="1"/>
  <c r="O46" i="1"/>
  <c r="P46" i="1"/>
  <c r="Q46" i="1"/>
  <c r="R46" i="1"/>
  <c r="L47" i="1"/>
  <c r="M47" i="1"/>
  <c r="N47" i="1"/>
  <c r="O47" i="1"/>
  <c r="P47" i="1"/>
  <c r="Q47" i="1"/>
  <c r="R47" i="1"/>
  <c r="L48" i="1"/>
  <c r="M48" i="1"/>
  <c r="N48" i="1"/>
  <c r="O48" i="1"/>
  <c r="P48" i="1"/>
  <c r="Q48" i="1"/>
  <c r="R48" i="1"/>
  <c r="L49" i="1"/>
  <c r="M49" i="1"/>
  <c r="N49" i="1"/>
  <c r="O49" i="1"/>
  <c r="P49" i="1"/>
  <c r="Q49" i="1"/>
  <c r="R49" i="1"/>
  <c r="L50" i="1"/>
  <c r="M50" i="1"/>
  <c r="N50" i="1"/>
  <c r="O50" i="1"/>
  <c r="P50" i="1"/>
  <c r="Q50" i="1"/>
  <c r="R50" i="1"/>
  <c r="L51" i="1"/>
  <c r="M51" i="1"/>
  <c r="N51" i="1"/>
  <c r="O51" i="1"/>
  <c r="P51" i="1"/>
  <c r="Q51" i="1"/>
  <c r="R51" i="1"/>
  <c r="L52" i="1"/>
  <c r="M52" i="1"/>
  <c r="N52" i="1"/>
  <c r="O52" i="1"/>
  <c r="P52" i="1"/>
  <c r="Q52" i="1"/>
  <c r="R52" i="1"/>
  <c r="L53" i="1"/>
  <c r="M53" i="1"/>
  <c r="N53" i="1"/>
  <c r="O53" i="1"/>
  <c r="P53" i="1"/>
  <c r="Q53" i="1"/>
  <c r="R53" i="1"/>
  <c r="L54" i="1"/>
  <c r="M54" i="1"/>
  <c r="N54" i="1"/>
  <c r="O54" i="1"/>
  <c r="P54" i="1"/>
  <c r="Q54" i="1"/>
  <c r="R54" i="1"/>
  <c r="L55" i="1"/>
  <c r="M55" i="1"/>
  <c r="N55" i="1"/>
  <c r="O55" i="1"/>
  <c r="P55" i="1"/>
  <c r="Q55" i="1"/>
  <c r="R55" i="1"/>
  <c r="K46" i="1"/>
  <c r="K47" i="1"/>
  <c r="K48" i="1"/>
  <c r="K49" i="1"/>
  <c r="K50" i="1"/>
  <c r="K51" i="1"/>
  <c r="K52" i="1"/>
  <c r="K53" i="1"/>
  <c r="K54" i="1"/>
  <c r="K55" i="1"/>
  <c r="K45" i="1"/>
  <c r="L32" i="1"/>
  <c r="M32" i="1"/>
  <c r="N32" i="1"/>
  <c r="O32" i="1"/>
  <c r="P32" i="1"/>
  <c r="Q32" i="1"/>
  <c r="R32" i="1"/>
  <c r="L33" i="1"/>
  <c r="M33" i="1"/>
  <c r="N33" i="1"/>
  <c r="O33" i="1"/>
  <c r="P33" i="1"/>
  <c r="Q33" i="1"/>
  <c r="R33" i="1"/>
  <c r="L34" i="1"/>
  <c r="M34" i="1"/>
  <c r="N34" i="1"/>
  <c r="O34" i="1"/>
  <c r="P34" i="1"/>
  <c r="Q34" i="1"/>
  <c r="R34" i="1"/>
  <c r="L35" i="1"/>
  <c r="M35" i="1"/>
  <c r="N35" i="1"/>
  <c r="O35" i="1"/>
  <c r="P35" i="1"/>
  <c r="Q35" i="1"/>
  <c r="R35" i="1"/>
  <c r="L36" i="1"/>
  <c r="M36" i="1"/>
  <c r="N36" i="1"/>
  <c r="O36" i="1"/>
  <c r="P36" i="1"/>
  <c r="Q36" i="1"/>
  <c r="R36" i="1"/>
  <c r="L37" i="1"/>
  <c r="M37" i="1"/>
  <c r="N37" i="1"/>
  <c r="O37" i="1"/>
  <c r="P37" i="1"/>
  <c r="Q37" i="1"/>
  <c r="R37" i="1"/>
  <c r="L38" i="1"/>
  <c r="M38" i="1"/>
  <c r="N38" i="1"/>
  <c r="O38" i="1"/>
  <c r="P38" i="1"/>
  <c r="Q38" i="1"/>
  <c r="R38" i="1"/>
  <c r="L39" i="1"/>
  <c r="M39" i="1"/>
  <c r="N39" i="1"/>
  <c r="O39" i="1"/>
  <c r="P39" i="1"/>
  <c r="Q39" i="1"/>
  <c r="R39" i="1"/>
  <c r="L40" i="1"/>
  <c r="M40" i="1"/>
  <c r="N40" i="1"/>
  <c r="O40" i="1"/>
  <c r="P40" i="1"/>
  <c r="Q40" i="1"/>
  <c r="R40" i="1"/>
  <c r="L41" i="1"/>
  <c r="M41" i="1"/>
  <c r="N41" i="1"/>
  <c r="O41" i="1"/>
  <c r="P41" i="1"/>
  <c r="Q41" i="1"/>
  <c r="R41" i="1"/>
  <c r="L42" i="1"/>
  <c r="M42" i="1"/>
  <c r="N42" i="1"/>
  <c r="O42" i="1"/>
  <c r="P42" i="1"/>
  <c r="Q42" i="1"/>
  <c r="R42" i="1"/>
  <c r="L43" i="1"/>
  <c r="M43" i="1"/>
  <c r="N43" i="1"/>
  <c r="O43" i="1"/>
  <c r="P43" i="1"/>
  <c r="Q43" i="1"/>
  <c r="R43" i="1"/>
  <c r="K33" i="1"/>
  <c r="K34" i="1"/>
  <c r="K35" i="1"/>
  <c r="K37" i="1"/>
  <c r="K38" i="1"/>
  <c r="K39" i="1"/>
  <c r="K40" i="1"/>
  <c r="K41" i="1"/>
  <c r="K42" i="1"/>
  <c r="K43" i="1"/>
  <c r="K32" i="1"/>
  <c r="L19" i="1"/>
  <c r="Q19" i="1"/>
  <c r="R19" i="1"/>
  <c r="L20" i="1"/>
  <c r="Q20" i="1"/>
  <c r="R20" i="1"/>
  <c r="L21" i="1"/>
  <c r="Q21" i="1"/>
  <c r="R21" i="1"/>
  <c r="L22" i="1"/>
  <c r="N22" i="1"/>
  <c r="O22" i="1"/>
  <c r="P22" i="1"/>
  <c r="L23" i="1"/>
  <c r="N23" i="1"/>
  <c r="O23" i="1"/>
  <c r="P23" i="1"/>
  <c r="Q23" i="1"/>
  <c r="L24" i="1"/>
  <c r="N24" i="1"/>
  <c r="O24" i="1"/>
  <c r="P24" i="1"/>
  <c r="Q24" i="1"/>
  <c r="L25" i="1"/>
  <c r="N25" i="1"/>
  <c r="O25" i="1"/>
  <c r="P25" i="1"/>
  <c r="Q25" i="1"/>
  <c r="L26" i="1"/>
  <c r="M26" i="1"/>
  <c r="N26" i="1"/>
  <c r="O26" i="1"/>
  <c r="P26" i="1"/>
  <c r="Q26" i="1"/>
  <c r="L27" i="1"/>
  <c r="M27" i="1"/>
  <c r="N27" i="1"/>
  <c r="O27" i="1"/>
  <c r="P27" i="1"/>
  <c r="Q27" i="1"/>
  <c r="L28" i="1"/>
  <c r="M28" i="1"/>
  <c r="N28" i="1"/>
  <c r="O28" i="1"/>
  <c r="P28" i="1"/>
  <c r="Q28" i="1"/>
  <c r="L29" i="1"/>
  <c r="M29" i="1"/>
  <c r="N29" i="1"/>
  <c r="O29" i="1"/>
  <c r="P29" i="1"/>
  <c r="Q29" i="1"/>
  <c r="K20" i="1"/>
  <c r="K21" i="1"/>
  <c r="K22" i="1"/>
  <c r="K23" i="1"/>
  <c r="K24" i="1"/>
  <c r="K25" i="1"/>
  <c r="K26" i="1"/>
  <c r="K27" i="1"/>
  <c r="K28" i="1"/>
  <c r="K29" i="1"/>
  <c r="K19" i="1"/>
  <c r="D109" i="1" a="1"/>
  <c r="R29" i="1" s="1"/>
  <c r="D103" i="1" a="1"/>
  <c r="D96" i="1" a="1"/>
  <c r="D88" i="1" a="1"/>
  <c r="D80" i="1" a="1"/>
  <c r="D72" i="1" a="1"/>
  <c r="D68" i="1" a="1"/>
  <c r="D60" i="1" a="1"/>
  <c r="D59" i="1"/>
  <c r="E59" i="1"/>
  <c r="F59" i="1"/>
  <c r="G59" i="1"/>
  <c r="D56" i="1"/>
  <c r="E56" i="1"/>
  <c r="F56" i="1"/>
  <c r="G56" i="1"/>
  <c r="D57" i="1"/>
  <c r="E57" i="1"/>
  <c r="F57" i="1"/>
  <c r="G57" i="1"/>
  <c r="D58" i="1"/>
  <c r="E58" i="1"/>
  <c r="F58" i="1"/>
  <c r="G58" i="1"/>
  <c r="D47" i="1"/>
  <c r="E47" i="1"/>
  <c r="F47" i="1"/>
  <c r="G47" i="1"/>
  <c r="D48" i="1"/>
  <c r="E48" i="1"/>
  <c r="F48" i="1"/>
  <c r="G48" i="1"/>
  <c r="D49" i="1"/>
  <c r="E49" i="1"/>
  <c r="F49" i="1"/>
  <c r="G49" i="1"/>
  <c r="D50" i="1"/>
  <c r="E50" i="1"/>
  <c r="F50" i="1"/>
  <c r="G50" i="1"/>
  <c r="D51" i="1"/>
  <c r="E51" i="1"/>
  <c r="F51" i="1"/>
  <c r="G51" i="1"/>
  <c r="D52" i="1"/>
  <c r="E52" i="1"/>
  <c r="F52" i="1"/>
  <c r="G52" i="1"/>
  <c r="D53" i="1"/>
  <c r="E53" i="1"/>
  <c r="F53" i="1"/>
  <c r="G53" i="1"/>
  <c r="D54" i="1"/>
  <c r="E54" i="1"/>
  <c r="F54" i="1"/>
  <c r="G54" i="1"/>
  <c r="D55" i="1"/>
  <c r="E55" i="1"/>
  <c r="F55" i="1"/>
  <c r="G55" i="1"/>
  <c r="E46" i="1"/>
  <c r="F46" i="1"/>
  <c r="G46" i="1"/>
  <c r="D46" i="1"/>
  <c r="L15" i="1"/>
  <c r="L14" i="1"/>
  <c r="L13" i="1"/>
  <c r="L12" i="1"/>
  <c r="L11" i="1"/>
  <c r="L10" i="1"/>
  <c r="L9" i="1"/>
  <c r="L8" i="1"/>
  <c r="AF15" i="1"/>
  <c r="AF14" i="1"/>
  <c r="AF13" i="1"/>
  <c r="AF12" i="1"/>
  <c r="AF11" i="1"/>
  <c r="AF10" i="1"/>
  <c r="AF9" i="1"/>
  <c r="AF8" i="1"/>
  <c r="AF5" i="1"/>
  <c r="AF4" i="1"/>
  <c r="AF3" i="1"/>
  <c r="AF2" i="1"/>
  <c r="AB15" i="1"/>
  <c r="AB14" i="1"/>
  <c r="AB13" i="1"/>
  <c r="AB12" i="1"/>
  <c r="AB11" i="1"/>
  <c r="AB10" i="1"/>
  <c r="AB9" i="1"/>
  <c r="AB8" i="1"/>
  <c r="X15" i="1"/>
  <c r="X14" i="1"/>
  <c r="X13" i="1"/>
  <c r="X12" i="1"/>
  <c r="X11" i="1"/>
  <c r="X10" i="1"/>
  <c r="X9" i="1"/>
  <c r="X8" i="1"/>
  <c r="T15" i="1"/>
  <c r="T14" i="1"/>
  <c r="T13" i="1"/>
  <c r="T12" i="1"/>
  <c r="T11" i="1"/>
  <c r="T10" i="1"/>
  <c r="T9" i="1"/>
  <c r="T8" i="1"/>
  <c r="P15" i="1"/>
  <c r="P14" i="1"/>
  <c r="P13" i="1"/>
  <c r="P12" i="1"/>
  <c r="P11" i="1"/>
  <c r="P10" i="1"/>
  <c r="P8" i="1"/>
  <c r="H11" i="1"/>
  <c r="H9" i="1"/>
  <c r="H10" i="1"/>
  <c r="H12" i="1"/>
  <c r="H13" i="1"/>
  <c r="H14" i="1"/>
  <c r="H15" i="1"/>
  <c r="H8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N19" i="1" l="1"/>
  <c r="N20" i="1"/>
  <c r="N21" i="1"/>
  <c r="R22" i="1"/>
  <c r="R24" i="1"/>
  <c r="O19" i="1"/>
  <c r="P19" i="1"/>
  <c r="O20" i="1"/>
  <c r="M21" i="1"/>
  <c r="P21" i="1"/>
  <c r="M22" i="1"/>
  <c r="M23" i="1"/>
  <c r="R26" i="1"/>
  <c r="R23" i="1"/>
  <c r="M24" i="1"/>
  <c r="R28" i="1"/>
  <c r="R25" i="1"/>
  <c r="R27" i="1"/>
  <c r="M19" i="1"/>
  <c r="M20" i="1"/>
  <c r="O21" i="1"/>
  <c r="Q22" i="1"/>
  <c r="M25" i="1"/>
  <c r="P2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<sst xmlns="http://schemas.openxmlformats.org/spreadsheetml/2006/main" count="194" uniqueCount="108">
  <si>
    <t>LSK1L</t>
  </si>
  <si>
    <t>LSK1R</t>
  </si>
  <si>
    <t>LSK2R</t>
  </si>
  <si>
    <t>LSK3R</t>
  </si>
  <si>
    <t>LSK4R</t>
  </si>
  <si>
    <t>LSK5R</t>
  </si>
  <si>
    <t>LSK6R</t>
  </si>
  <si>
    <t>LSK2L</t>
  </si>
  <si>
    <t>LSK3L</t>
  </si>
  <si>
    <t>LSK4L</t>
  </si>
  <si>
    <t>LSK5L</t>
  </si>
  <si>
    <t>LSK6L</t>
  </si>
  <si>
    <t>INIT REF</t>
  </si>
  <si>
    <t>T</t>
  </si>
  <si>
    <t>FIX</t>
  </si>
  <si>
    <t>MENU</t>
  </si>
  <si>
    <t>PREV</t>
  </si>
  <si>
    <t>.</t>
  </si>
  <si>
    <t>Raw</t>
  </si>
  <si>
    <t>CC</t>
  </si>
  <si>
    <t>RTE</t>
  </si>
  <si>
    <t>LEGS</t>
  </si>
  <si>
    <t>N1</t>
  </si>
  <si>
    <t>NEXT</t>
  </si>
  <si>
    <t>DEP ARR</t>
  </si>
  <si>
    <t>HOLD</t>
  </si>
  <si>
    <t>A</t>
  </si>
  <si>
    <t>F</t>
  </si>
  <si>
    <t>K</t>
  </si>
  <si>
    <t>P</t>
  </si>
  <si>
    <t>U</t>
  </si>
  <si>
    <t>Z</t>
  </si>
  <si>
    <t>CLB</t>
  </si>
  <si>
    <t>CRZ</t>
  </si>
  <si>
    <t>B</t>
  </si>
  <si>
    <t>G</t>
  </si>
  <si>
    <t>L</t>
  </si>
  <si>
    <t>Q</t>
  </si>
  <si>
    <t>V</t>
  </si>
  <si>
    <t>SP</t>
  </si>
  <si>
    <t>DES</t>
  </si>
  <si>
    <t>PROG</t>
  </si>
  <si>
    <t>C</t>
  </si>
  <si>
    <t>H</t>
  </si>
  <si>
    <t>M</t>
  </si>
  <si>
    <t>R</t>
  </si>
  <si>
    <t>W</t>
  </si>
  <si>
    <t>DEL</t>
  </si>
  <si>
    <t>EXEC</t>
  </si>
  <si>
    <t>D</t>
  </si>
  <si>
    <t>I</t>
  </si>
  <si>
    <t>N</t>
  </si>
  <si>
    <t>S</t>
  </si>
  <si>
    <t>X</t>
  </si>
  <si>
    <t>/</t>
  </si>
  <si>
    <t>E</t>
  </si>
  <si>
    <t>J</t>
  </si>
  <si>
    <t>O</t>
  </si>
  <si>
    <t>Y</t>
  </si>
  <si>
    <t>CLR</t>
  </si>
  <si>
    <t>Key</t>
  </si>
  <si>
    <t>ESC</t>
  </si>
  <si>
    <t>-</t>
  </si>
  <si>
    <t>=</t>
  </si>
  <si>
    <t>bs</t>
  </si>
  <si>
    <t>Tab</t>
  </si>
  <si>
    <t>[</t>
  </si>
  <si>
    <t>]</t>
  </si>
  <si>
    <t>Enter</t>
  </si>
  <si>
    <t>CTRL</t>
  </si>
  <si>
    <t>;</t>
  </si>
  <si>
    <t>'</t>
  </si>
  <si>
    <t>`</t>
  </si>
  <si>
    <t>LShift</t>
  </si>
  <si>
    <t>\</t>
  </si>
  <si>
    <t>,</t>
  </si>
  <si>
    <t>RShift</t>
  </si>
  <si>
    <t>PrtSc</t>
  </si>
  <si>
    <t>Alt</t>
  </si>
  <si>
    <t>Space</t>
  </si>
  <si>
    <t>Caps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</si>
  <si>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</si>
  <si>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</si>
  <si>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</si>
  <si>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</si>
  <si>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</si>
  <si>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</si>
  <si>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</si>
  <si>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</si>
  <si>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</si>
  <si>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</si>
  <si>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Num</t>
  </si>
  <si>
    <t>Scroll</t>
  </si>
  <si>
    <t>Home (7)</t>
  </si>
  <si>
    <t>Up (8)</t>
  </si>
  <si>
    <t>PgUp (9)</t>
  </si>
  <si>
    <t>Left (4)</t>
  </si>
  <si>
    <t>Center (5)</t>
  </si>
  <si>
    <t>Right (6)</t>
  </si>
  <si>
    <t>+</t>
  </si>
  <si>
    <t>End (1)</t>
  </si>
  <si>
    <t>Down (2)</t>
  </si>
  <si>
    <t>PgDn (3)</t>
  </si>
  <si>
    <t>Ins</t>
  </si>
  <si>
    <t>Del</t>
  </si>
  <si>
    <t>F11</t>
  </si>
  <si>
    <t>F12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</si>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</sst>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1349F-3B93-4A4B-AC89-D5FC9EBA7760}">
  <dimension ref="A1:AH128"/>
  <sheetViews>
    <sheetView tabSelected="1" workbookViewId="0">
      <selection activeCell="AC10" sqref="AC10:AF15"/>
    </sheetView>
  </sheetViews>
  <sheetFormatPr defaultRowHeight="15" x14ac:dyDescent="0.25"/>
  <sheetData>
    <row r="1" spans="1:32" x14ac:dyDescent="0.25">
      <c r="A1" s="1"/>
      <c r="B1" s="2" t="s">
        <v>18</v>
      </c>
      <c r="C1" s="2" t="s">
        <v>60</v>
      </c>
      <c r="D1" s="3" t="s">
        <v>19</v>
      </c>
    </row>
    <row r="2" spans="1:32" x14ac:dyDescent="0.25">
      <c r="A2" s="4" t="s">
        <v>0</v>
      </c>
      <c r="B2" s="5">
        <v>1001</v>
      </c>
      <c r="C2" s="5" t="s">
        <v>81</v>
      </c>
      <c r="D2" s="6">
        <f>_xlfn.XLOOKUP(C2,$B$46:$B$128,$A$46:$A$128,"")</f>
        <v>59</v>
      </c>
      <c r="AC2" s="1" t="s">
        <v>1</v>
      </c>
      <c r="AD2" s="2">
        <v>1006</v>
      </c>
      <c r="AE2" s="2" t="s">
        <v>87</v>
      </c>
      <c r="AF2" s="3">
        <f>_xlfn.XLOOKUP(AE2,$B$46:$B$128,$A$46:$A$128,"")</f>
        <v>65</v>
      </c>
    </row>
    <row r="3" spans="1:32" x14ac:dyDescent="0.25">
      <c r="A3" s="4" t="s">
        <v>7</v>
      </c>
      <c r="B3" s="5">
        <v>1011</v>
      </c>
      <c r="C3" s="5" t="s">
        <v>82</v>
      </c>
      <c r="D3" s="6">
        <f t="shared" ref="D3:D15" si="0">_xlfn.XLOOKUP(C3,B$46:B$128,A$46:A$128,"")</f>
        <v>60</v>
      </c>
      <c r="AC3" s="4" t="s">
        <v>2</v>
      </c>
      <c r="AD3" s="5">
        <v>1016</v>
      </c>
      <c r="AE3" s="5" t="s">
        <v>88</v>
      </c>
      <c r="AF3" s="6">
        <f t="shared" ref="AF3:AF9" si="1">_xlfn.XLOOKUP(AE3,$B$46:$B$128,$A$46:$A$128,"")</f>
        <v>66</v>
      </c>
    </row>
    <row r="4" spans="1:32" x14ac:dyDescent="0.25">
      <c r="A4" s="4" t="s">
        <v>8</v>
      </c>
      <c r="B4" s="5">
        <v>1021</v>
      </c>
      <c r="C4" s="5" t="s">
        <v>83</v>
      </c>
      <c r="D4" s="6">
        <f t="shared" si="0"/>
        <v>61</v>
      </c>
      <c r="AC4" s="4" t="s">
        <v>3</v>
      </c>
      <c r="AD4" s="5">
        <v>1026</v>
      </c>
      <c r="AE4" s="5" t="s">
        <v>89</v>
      </c>
      <c r="AF4" s="6">
        <f t="shared" si="1"/>
        <v>67</v>
      </c>
    </row>
    <row r="5" spans="1:32" x14ac:dyDescent="0.25">
      <c r="A5" s="4" t="s">
        <v>9</v>
      </c>
      <c r="B5" s="5">
        <v>1020</v>
      </c>
      <c r="C5" s="5" t="s">
        <v>84</v>
      </c>
      <c r="D5" s="6">
        <f t="shared" si="0"/>
        <v>62</v>
      </c>
      <c r="AC5" s="4" t="s">
        <v>4</v>
      </c>
      <c r="AD5" s="5">
        <v>1027</v>
      </c>
      <c r="AE5" s="5" t="s">
        <v>90</v>
      </c>
      <c r="AF5" s="6">
        <f t="shared" si="1"/>
        <v>68</v>
      </c>
    </row>
    <row r="6" spans="1:32" x14ac:dyDescent="0.25">
      <c r="A6" s="4" t="s">
        <v>10</v>
      </c>
      <c r="B6" s="5">
        <v>1010</v>
      </c>
      <c r="C6" s="5" t="s">
        <v>85</v>
      </c>
      <c r="D6" s="6">
        <f t="shared" si="0"/>
        <v>63</v>
      </c>
      <c r="AC6" s="4" t="s">
        <v>5</v>
      </c>
      <c r="AD6" s="5">
        <v>1017</v>
      </c>
      <c r="AE6" s="5" t="s">
        <v>105</v>
      </c>
      <c r="AF6" s="6">
        <v>87</v>
      </c>
    </row>
    <row r="7" spans="1:32" x14ac:dyDescent="0.25">
      <c r="A7" s="4" t="s">
        <v>11</v>
      </c>
      <c r="B7" s="5">
        <v>1000</v>
      </c>
      <c r="C7" s="5" t="s">
        <v>86</v>
      </c>
      <c r="D7" s="6">
        <f t="shared" si="0"/>
        <v>64</v>
      </c>
      <c r="AC7" s="7" t="s">
        <v>6</v>
      </c>
      <c r="AD7" s="8">
        <v>1007</v>
      </c>
      <c r="AE7" s="8" t="s">
        <v>106</v>
      </c>
      <c r="AF7" s="9">
        <v>88</v>
      </c>
    </row>
    <row r="8" spans="1:32" x14ac:dyDescent="0.25">
      <c r="A8" s="4" t="s">
        <v>12</v>
      </c>
      <c r="B8" s="5">
        <v>1030</v>
      </c>
      <c r="C8" s="5" t="s">
        <v>103</v>
      </c>
      <c r="D8" s="6">
        <f t="shared" si="0"/>
        <v>82</v>
      </c>
      <c r="E8" s="1" t="s">
        <v>20</v>
      </c>
      <c r="F8" s="2">
        <v>1031</v>
      </c>
      <c r="G8" s="2" t="s">
        <v>75</v>
      </c>
      <c r="H8" s="3">
        <f>_xlfn.XLOOKUP(G8,$B$46:$B$128,$A$46:$A$128,"")</f>
        <v>51</v>
      </c>
      <c r="L8" t="str">
        <f>_xlfn.XLOOKUP(K8,$B$46:$B$128,$A$46:$A$128,"")</f>
        <v/>
      </c>
      <c r="M8" s="1" t="s">
        <v>32</v>
      </c>
      <c r="N8" s="2">
        <v>1033</v>
      </c>
      <c r="O8" s="2" t="s">
        <v>66</v>
      </c>
      <c r="P8" s="3">
        <f>_xlfn.XLOOKUP(O8,$B$46:$B$128,$A$46:$A$128,"")</f>
        <v>26</v>
      </c>
      <c r="Q8" s="1" t="s">
        <v>33</v>
      </c>
      <c r="R8" s="2">
        <v>1034</v>
      </c>
      <c r="S8" s="2" t="s">
        <v>71</v>
      </c>
      <c r="T8" s="3">
        <f>_xlfn.XLOOKUP(S8,$B$46:$B$128,$A$46:$A$128,"")</f>
        <v>40</v>
      </c>
      <c r="U8" s="1" t="s">
        <v>40</v>
      </c>
      <c r="V8" s="2">
        <v>1035</v>
      </c>
      <c r="W8" s="2" t="s">
        <v>67</v>
      </c>
      <c r="X8" s="3">
        <f>_xlfn.XLOOKUP(W8,$B$46:$B$128,$A$46:$A$128,"")</f>
        <v>27</v>
      </c>
      <c r="AB8" t="str">
        <f>_xlfn.XLOOKUP(AA8,$B$46:$B$128,$A$46:$A$128,"")</f>
        <v/>
      </c>
      <c r="AF8" t="str">
        <f>_xlfn.XLOOKUP(AE8,$B$46:$B$128,$A$46:$A$128,"")</f>
        <v/>
      </c>
    </row>
    <row r="9" spans="1:32" x14ac:dyDescent="0.25">
      <c r="A9" s="4" t="s">
        <v>15</v>
      </c>
      <c r="B9" s="5">
        <v>1040</v>
      </c>
      <c r="C9" s="5" t="s">
        <v>93</v>
      </c>
      <c r="D9" s="6">
        <f t="shared" si="0"/>
        <v>71</v>
      </c>
      <c r="E9" s="4" t="s">
        <v>21</v>
      </c>
      <c r="F9" s="5">
        <v>1041</v>
      </c>
      <c r="G9" s="5" t="s">
        <v>99</v>
      </c>
      <c r="H9" s="6">
        <f t="shared" ref="H9:H15" si="2">_xlfn.XLOOKUP(G9,$B$46:$B$128,$A$46:$A$128,"")</f>
        <v>78</v>
      </c>
      <c r="L9" t="str">
        <f t="shared" ref="L9:L15" si="3">_xlfn.XLOOKUP(K9,$B$46:$B$128,$A$46:$A$128,"")</f>
        <v/>
      </c>
      <c r="M9" s="4" t="s">
        <v>24</v>
      </c>
      <c r="N9" s="5">
        <v>1043</v>
      </c>
      <c r="O9" s="5" t="s">
        <v>107</v>
      </c>
      <c r="P9" s="6">
        <v>55</v>
      </c>
      <c r="Q9" s="4" t="s">
        <v>25</v>
      </c>
      <c r="R9" s="5">
        <v>1044</v>
      </c>
      <c r="S9" s="5" t="s">
        <v>74</v>
      </c>
      <c r="T9" s="6">
        <f t="shared" ref="T9:T15" si="4">_xlfn.XLOOKUP(S9,$B$46:$B$128,$A$46:$A$128,"")</f>
        <v>43</v>
      </c>
      <c r="U9" s="4" t="s">
        <v>41</v>
      </c>
      <c r="V9" s="5">
        <v>1045</v>
      </c>
      <c r="W9" s="5" t="s">
        <v>100</v>
      </c>
      <c r="X9" s="6">
        <f t="shared" ref="X9:X15" si="5">_xlfn.XLOOKUP(W9,$B$46:$B$128,$A$46:$A$128,"")</f>
        <v>79</v>
      </c>
      <c r="Y9" s="1" t="s">
        <v>48</v>
      </c>
      <c r="Z9" s="2">
        <v>1046</v>
      </c>
      <c r="AA9" s="2" t="s">
        <v>68</v>
      </c>
      <c r="AB9" s="3">
        <f t="shared" ref="AB9:AB15" si="6">_xlfn.XLOOKUP(AA9,$B$46:$B$128,$A$46:$A$128,"")</f>
        <v>28</v>
      </c>
      <c r="AF9" t="str">
        <f t="shared" ref="AF9:AF15" si="7">_xlfn.XLOOKUP(AE9,$B$46:$B$128,$A$46:$A$128,"")</f>
        <v/>
      </c>
    </row>
    <row r="10" spans="1:32" x14ac:dyDescent="0.25">
      <c r="A10" s="4" t="s">
        <v>22</v>
      </c>
      <c r="B10" s="5">
        <v>1050</v>
      </c>
      <c r="C10" s="5" t="s">
        <v>72</v>
      </c>
      <c r="D10" s="6">
        <f t="shared" si="0"/>
        <v>41</v>
      </c>
      <c r="E10" s="4" t="s">
        <v>14</v>
      </c>
      <c r="F10" s="5">
        <v>1051</v>
      </c>
      <c r="G10" s="5" t="s">
        <v>70</v>
      </c>
      <c r="H10" s="6">
        <f t="shared" si="2"/>
        <v>39</v>
      </c>
      <c r="L10" t="str">
        <f t="shared" si="3"/>
        <v/>
      </c>
      <c r="M10" s="4" t="s">
        <v>26</v>
      </c>
      <c r="N10" s="5">
        <v>1053</v>
      </c>
      <c r="O10" s="5" t="s">
        <v>26</v>
      </c>
      <c r="P10" s="6">
        <f t="shared" ref="P9:P15" si="8">_xlfn.XLOOKUP(O10,$B$46:$B$128,$A$46:$A$128,"")</f>
        <v>30</v>
      </c>
      <c r="Q10" s="4" t="s">
        <v>34</v>
      </c>
      <c r="R10" s="5">
        <v>1054</v>
      </c>
      <c r="S10" s="5" t="s">
        <v>34</v>
      </c>
      <c r="T10" s="6">
        <f t="shared" si="4"/>
        <v>48</v>
      </c>
      <c r="U10" s="4" t="s">
        <v>42</v>
      </c>
      <c r="V10" s="5">
        <v>1055</v>
      </c>
      <c r="W10" s="5" t="s">
        <v>42</v>
      </c>
      <c r="X10" s="6">
        <f t="shared" si="5"/>
        <v>46</v>
      </c>
      <c r="Y10" s="4" t="s">
        <v>49</v>
      </c>
      <c r="Z10" s="5">
        <v>1056</v>
      </c>
      <c r="AA10" s="5" t="s">
        <v>49</v>
      </c>
      <c r="AB10" s="6">
        <f t="shared" si="6"/>
        <v>32</v>
      </c>
      <c r="AC10" s="1" t="s">
        <v>55</v>
      </c>
      <c r="AD10" s="2">
        <v>1057</v>
      </c>
      <c r="AE10" s="2" t="s">
        <v>55</v>
      </c>
      <c r="AF10" s="3">
        <f t="shared" si="7"/>
        <v>18</v>
      </c>
    </row>
    <row r="11" spans="1:32" x14ac:dyDescent="0.25">
      <c r="A11" s="4" t="s">
        <v>16</v>
      </c>
      <c r="B11" s="5">
        <v>1060</v>
      </c>
      <c r="C11" s="5" t="s">
        <v>95</v>
      </c>
      <c r="D11" s="6">
        <f t="shared" si="0"/>
        <v>73</v>
      </c>
      <c r="E11" s="4" t="s">
        <v>23</v>
      </c>
      <c r="F11" s="5">
        <v>1061</v>
      </c>
      <c r="G11" s="5" t="s">
        <v>102</v>
      </c>
      <c r="H11" s="6">
        <f t="shared" si="2"/>
        <v>81</v>
      </c>
      <c r="L11" t="str">
        <f t="shared" si="3"/>
        <v/>
      </c>
      <c r="M11" s="4" t="s">
        <v>27</v>
      </c>
      <c r="N11" s="5">
        <v>1063</v>
      </c>
      <c r="O11" s="5" t="s">
        <v>27</v>
      </c>
      <c r="P11" s="6">
        <f t="shared" si="8"/>
        <v>33</v>
      </c>
      <c r="Q11" s="4" t="s">
        <v>35</v>
      </c>
      <c r="R11" s="5">
        <v>1064</v>
      </c>
      <c r="S11" s="5" t="s">
        <v>35</v>
      </c>
      <c r="T11" s="6">
        <f t="shared" si="4"/>
        <v>34</v>
      </c>
      <c r="U11" s="4" t="s">
        <v>43</v>
      </c>
      <c r="V11" s="5">
        <v>1065</v>
      </c>
      <c r="W11" s="5" t="s">
        <v>43</v>
      </c>
      <c r="X11" s="6">
        <f t="shared" si="5"/>
        <v>35</v>
      </c>
      <c r="Y11" s="4" t="s">
        <v>50</v>
      </c>
      <c r="Z11" s="5">
        <v>1066</v>
      </c>
      <c r="AA11" s="5" t="s">
        <v>50</v>
      </c>
      <c r="AB11" s="6">
        <f t="shared" si="6"/>
        <v>23</v>
      </c>
      <c r="AC11" s="4" t="s">
        <v>56</v>
      </c>
      <c r="AD11" s="5">
        <v>1067</v>
      </c>
      <c r="AE11" s="5" t="s">
        <v>56</v>
      </c>
      <c r="AF11" s="6">
        <f t="shared" si="7"/>
        <v>36</v>
      </c>
    </row>
    <row r="12" spans="1:32" x14ac:dyDescent="0.25">
      <c r="A12" s="4">
        <v>1</v>
      </c>
      <c r="B12" s="5">
        <v>1070</v>
      </c>
      <c r="C12" s="5">
        <v>1</v>
      </c>
      <c r="D12" s="6">
        <f t="shared" si="0"/>
        <v>2</v>
      </c>
      <c r="E12" s="4">
        <v>2</v>
      </c>
      <c r="F12" s="5">
        <v>1071</v>
      </c>
      <c r="G12" s="5">
        <v>2</v>
      </c>
      <c r="H12" s="6">
        <f t="shared" si="2"/>
        <v>3</v>
      </c>
      <c r="I12" s="1">
        <v>3</v>
      </c>
      <c r="J12" s="2">
        <v>1072</v>
      </c>
      <c r="K12" s="2">
        <v>3</v>
      </c>
      <c r="L12" s="2">
        <f t="shared" si="3"/>
        <v>4</v>
      </c>
      <c r="M12" s="4" t="s">
        <v>28</v>
      </c>
      <c r="N12" s="5">
        <v>1073</v>
      </c>
      <c r="O12" s="5" t="s">
        <v>28</v>
      </c>
      <c r="P12" s="6">
        <f t="shared" si="8"/>
        <v>37</v>
      </c>
      <c r="Q12" s="4" t="s">
        <v>36</v>
      </c>
      <c r="R12" s="5">
        <v>1074</v>
      </c>
      <c r="S12" s="5" t="s">
        <v>36</v>
      </c>
      <c r="T12" s="6">
        <f t="shared" si="4"/>
        <v>38</v>
      </c>
      <c r="U12" s="4" t="s">
        <v>44</v>
      </c>
      <c r="V12" s="5">
        <v>1075</v>
      </c>
      <c r="W12" s="5" t="s">
        <v>44</v>
      </c>
      <c r="X12" s="6">
        <f t="shared" si="5"/>
        <v>50</v>
      </c>
      <c r="Y12" s="4" t="s">
        <v>51</v>
      </c>
      <c r="Z12" s="5">
        <v>1076</v>
      </c>
      <c r="AA12" s="5" t="s">
        <v>51</v>
      </c>
      <c r="AB12" s="6">
        <f t="shared" si="6"/>
        <v>49</v>
      </c>
      <c r="AC12" s="4" t="s">
        <v>57</v>
      </c>
      <c r="AD12" s="5">
        <v>1077</v>
      </c>
      <c r="AE12" s="5" t="s">
        <v>57</v>
      </c>
      <c r="AF12" s="6">
        <f t="shared" si="7"/>
        <v>24</v>
      </c>
    </row>
    <row r="13" spans="1:32" x14ac:dyDescent="0.25">
      <c r="A13" s="4">
        <v>4</v>
      </c>
      <c r="B13" s="5">
        <v>1080</v>
      </c>
      <c r="C13" s="5">
        <v>4</v>
      </c>
      <c r="D13" s="6">
        <f t="shared" si="0"/>
        <v>5</v>
      </c>
      <c r="E13" s="4">
        <v>5</v>
      </c>
      <c r="F13" s="5">
        <v>1081</v>
      </c>
      <c r="G13" s="5">
        <v>5</v>
      </c>
      <c r="H13" s="6">
        <f t="shared" si="2"/>
        <v>6</v>
      </c>
      <c r="I13" s="4">
        <v>6</v>
      </c>
      <c r="J13" s="5">
        <v>1082</v>
      </c>
      <c r="K13" s="5">
        <v>6</v>
      </c>
      <c r="L13" s="5">
        <f t="shared" si="3"/>
        <v>7</v>
      </c>
      <c r="M13" s="4" t="s">
        <v>29</v>
      </c>
      <c r="N13" s="5">
        <v>1083</v>
      </c>
      <c r="O13" s="5" t="s">
        <v>29</v>
      </c>
      <c r="P13" s="6">
        <f t="shared" si="8"/>
        <v>25</v>
      </c>
      <c r="Q13" s="4" t="s">
        <v>37</v>
      </c>
      <c r="R13" s="5">
        <v>1084</v>
      </c>
      <c r="S13" s="5" t="s">
        <v>37</v>
      </c>
      <c r="T13" s="6">
        <f t="shared" si="4"/>
        <v>16</v>
      </c>
      <c r="U13" s="4" t="s">
        <v>45</v>
      </c>
      <c r="V13" s="5">
        <v>1085</v>
      </c>
      <c r="W13" s="5" t="s">
        <v>45</v>
      </c>
      <c r="X13" s="6">
        <f t="shared" si="5"/>
        <v>19</v>
      </c>
      <c r="Y13" s="4" t="s">
        <v>52</v>
      </c>
      <c r="Z13" s="5">
        <v>1086</v>
      </c>
      <c r="AA13" s="5" t="s">
        <v>52</v>
      </c>
      <c r="AB13" s="6">
        <f t="shared" si="6"/>
        <v>31</v>
      </c>
      <c r="AC13" s="4" t="s">
        <v>13</v>
      </c>
      <c r="AD13" s="5">
        <v>1087</v>
      </c>
      <c r="AE13" s="5" t="s">
        <v>13</v>
      </c>
      <c r="AF13" s="6">
        <f t="shared" si="7"/>
        <v>20</v>
      </c>
    </row>
    <row r="14" spans="1:32" x14ac:dyDescent="0.25">
      <c r="A14" s="4">
        <v>7</v>
      </c>
      <c r="B14" s="5">
        <v>1090</v>
      </c>
      <c r="C14" s="5">
        <v>7</v>
      </c>
      <c r="D14" s="6">
        <f t="shared" si="0"/>
        <v>8</v>
      </c>
      <c r="E14" s="4">
        <v>8</v>
      </c>
      <c r="F14" s="5">
        <v>1091</v>
      </c>
      <c r="G14" s="5">
        <v>8</v>
      </c>
      <c r="H14" s="6">
        <f t="shared" si="2"/>
        <v>9</v>
      </c>
      <c r="I14" s="4">
        <v>9</v>
      </c>
      <c r="J14" s="5">
        <v>1092</v>
      </c>
      <c r="K14" s="5">
        <v>9</v>
      </c>
      <c r="L14" s="5">
        <f t="shared" si="3"/>
        <v>10</v>
      </c>
      <c r="M14" s="4" t="s">
        <v>30</v>
      </c>
      <c r="N14" s="5">
        <v>1093</v>
      </c>
      <c r="O14" s="5" t="s">
        <v>30</v>
      </c>
      <c r="P14" s="6">
        <f t="shared" si="8"/>
        <v>22</v>
      </c>
      <c r="Q14" s="4" t="s">
        <v>38</v>
      </c>
      <c r="R14" s="5">
        <v>1094</v>
      </c>
      <c r="S14" s="5" t="s">
        <v>38</v>
      </c>
      <c r="T14" s="6">
        <f t="shared" si="4"/>
        <v>47</v>
      </c>
      <c r="U14" s="4" t="s">
        <v>46</v>
      </c>
      <c r="V14" s="5">
        <v>1095</v>
      </c>
      <c r="W14" s="5" t="s">
        <v>46</v>
      </c>
      <c r="X14" s="6">
        <f t="shared" si="5"/>
        <v>17</v>
      </c>
      <c r="Y14" s="4" t="s">
        <v>53</v>
      </c>
      <c r="Z14" s="5">
        <v>1096</v>
      </c>
      <c r="AA14" s="5" t="s">
        <v>53</v>
      </c>
      <c r="AB14" s="6">
        <f t="shared" si="6"/>
        <v>45</v>
      </c>
      <c r="AC14" s="4" t="s">
        <v>58</v>
      </c>
      <c r="AD14" s="5">
        <v>1097</v>
      </c>
      <c r="AE14" s="5" t="s">
        <v>58</v>
      </c>
      <c r="AF14" s="6">
        <f t="shared" si="7"/>
        <v>21</v>
      </c>
    </row>
    <row r="15" spans="1:32" x14ac:dyDescent="0.25">
      <c r="A15" s="7" t="s">
        <v>17</v>
      </c>
      <c r="B15" s="8">
        <v>1100</v>
      </c>
      <c r="C15" s="8" t="s">
        <v>17</v>
      </c>
      <c r="D15" s="9">
        <f t="shared" si="0"/>
        <v>52</v>
      </c>
      <c r="E15" s="7">
        <v>0</v>
      </c>
      <c r="F15" s="8">
        <v>1101</v>
      </c>
      <c r="G15" s="8">
        <v>0</v>
      </c>
      <c r="H15" s="9">
        <f t="shared" si="2"/>
        <v>11</v>
      </c>
      <c r="I15" s="7" t="s">
        <v>62</v>
      </c>
      <c r="J15" s="8">
        <v>1102</v>
      </c>
      <c r="K15" s="8" t="s">
        <v>62</v>
      </c>
      <c r="L15" s="8">
        <f t="shared" si="3"/>
        <v>12</v>
      </c>
      <c r="M15" s="7" t="s">
        <v>31</v>
      </c>
      <c r="N15" s="8">
        <v>1103</v>
      </c>
      <c r="O15" s="8" t="s">
        <v>31</v>
      </c>
      <c r="P15" s="9">
        <f t="shared" si="8"/>
        <v>44</v>
      </c>
      <c r="Q15" s="7" t="s">
        <v>39</v>
      </c>
      <c r="R15" s="8">
        <v>1104</v>
      </c>
      <c r="S15" s="8" t="s">
        <v>79</v>
      </c>
      <c r="T15" s="9">
        <f t="shared" si="4"/>
        <v>57</v>
      </c>
      <c r="U15" s="7" t="s">
        <v>47</v>
      </c>
      <c r="V15" s="8">
        <v>1105</v>
      </c>
      <c r="W15" s="8" t="s">
        <v>104</v>
      </c>
      <c r="X15" s="9">
        <f t="shared" si="5"/>
        <v>83</v>
      </c>
      <c r="Y15" s="7" t="s">
        <v>54</v>
      </c>
      <c r="Z15" s="8">
        <v>1106</v>
      </c>
      <c r="AA15" s="8" t="s">
        <v>54</v>
      </c>
      <c r="AB15" s="9">
        <f t="shared" si="6"/>
        <v>53</v>
      </c>
      <c r="AC15" s="7" t="s">
        <v>59</v>
      </c>
      <c r="AD15" s="8">
        <v>1107</v>
      </c>
      <c r="AE15" s="8" t="s">
        <v>64</v>
      </c>
      <c r="AF15" s="9">
        <f t="shared" si="7"/>
        <v>14</v>
      </c>
    </row>
    <row r="19" spans="1:34" x14ac:dyDescent="0.25">
      <c r="A19">
        <v>1000</v>
      </c>
      <c r="B19">
        <v>1001</v>
      </c>
      <c r="C19">
        <v>1002</v>
      </c>
      <c r="D19">
        <v>1003</v>
      </c>
      <c r="E19">
        <v>1004</v>
      </c>
      <c r="F19">
        <v>1005</v>
      </c>
      <c r="G19">
        <v>1006</v>
      </c>
      <c r="H19">
        <v>1007</v>
      </c>
      <c r="K19">
        <f>_xlfn.XLOOKUP(A19,$E$46:$E$114,$G$46:$G$114,-1)</f>
        <v>64</v>
      </c>
      <c r="L19">
        <f t="shared" ref="L19:S29" si="9">_xlfn.XLOOKUP(B19,$E$46:$E$114,$G$46:$G$114,-1)</f>
        <v>59</v>
      </c>
      <c r="M19">
        <f t="shared" si="9"/>
        <v>-1</v>
      </c>
      <c r="N19">
        <f t="shared" si="9"/>
        <v>-1</v>
      </c>
      <c r="O19">
        <f t="shared" si="9"/>
        <v>-1</v>
      </c>
      <c r="P19">
        <f t="shared" si="9"/>
        <v>-1</v>
      </c>
      <c r="Q19">
        <f t="shared" si="9"/>
        <v>65</v>
      </c>
      <c r="R19">
        <f t="shared" si="9"/>
        <v>88</v>
      </c>
      <c r="T19" t="str">
        <f>_xlfn.TEXTJOIN(",",FALSE,K19:S19)</f>
        <v>64,59,-1,-1,-1,-1,65,88,</v>
      </c>
      <c r="Y19">
        <f>IF(K19 &gt; 0, K19, "")</f>
        <v>64</v>
      </c>
      <c r="Z19">
        <f t="shared" ref="Z19:AF29" si="10">IF(L19 &gt; 0, L19, "")</f>
        <v>59</v>
      </c>
      <c r="AA19" t="str">
        <f t="shared" si="10"/>
        <v/>
      </c>
      <c r="AB19" t="str">
        <f t="shared" si="10"/>
        <v/>
      </c>
      <c r="AC19" t="str">
        <f t="shared" si="10"/>
        <v/>
      </c>
      <c r="AD19" t="str">
        <f t="shared" si="10"/>
        <v/>
      </c>
      <c r="AE19">
        <f t="shared" si="10"/>
        <v>65</v>
      </c>
      <c r="AF19">
        <f t="shared" si="10"/>
        <v>88</v>
      </c>
      <c r="AH19" t="str">
        <f>_xlfn.TEXTJOIN(",",TRUE,Y19:AG19)</f>
        <v>64,59,65,88</v>
      </c>
    </row>
    <row r="20" spans="1:34" x14ac:dyDescent="0.25">
      <c r="A20">
        <v>1010</v>
      </c>
      <c r="B20">
        <v>1011</v>
      </c>
      <c r="C20">
        <v>1012</v>
      </c>
      <c r="D20">
        <v>1013</v>
      </c>
      <c r="E20">
        <v>1014</v>
      </c>
      <c r="F20">
        <v>1015</v>
      </c>
      <c r="G20">
        <v>1016</v>
      </c>
      <c r="H20">
        <v>1017</v>
      </c>
      <c r="K20">
        <f t="shared" ref="K20:K29" si="11">_xlfn.XLOOKUP(A20,$E$46:$E$114,$G$46:$G$114,-1)</f>
        <v>63</v>
      </c>
      <c r="L20">
        <f t="shared" si="9"/>
        <v>60</v>
      </c>
      <c r="M20">
        <f t="shared" si="9"/>
        <v>-1</v>
      </c>
      <c r="N20">
        <f t="shared" si="9"/>
        <v>-1</v>
      </c>
      <c r="O20">
        <f t="shared" si="9"/>
        <v>-1</v>
      </c>
      <c r="P20">
        <f t="shared" si="9"/>
        <v>-1</v>
      </c>
      <c r="Q20">
        <f t="shared" si="9"/>
        <v>66</v>
      </c>
      <c r="R20">
        <f t="shared" si="9"/>
        <v>87</v>
      </c>
      <c r="T20" t="str">
        <f t="shared" ref="T20:T28" si="12">_xlfn.TEXTJOIN(",",FALSE,K20:S20)</f>
        <v>63,60,-1,-1,-1,-1,66,87,</v>
      </c>
      <c r="Y20">
        <f t="shared" ref="Y20:Y29" si="13">IF(K20 &gt; 0, K20, "")</f>
        <v>63</v>
      </c>
      <c r="Z20">
        <f t="shared" si="10"/>
        <v>60</v>
      </c>
      <c r="AA20" t="str">
        <f t="shared" si="10"/>
        <v/>
      </c>
      <c r="AB20" t="str">
        <f t="shared" si="10"/>
        <v/>
      </c>
      <c r="AC20" t="str">
        <f t="shared" si="10"/>
        <v/>
      </c>
      <c r="AD20" t="str">
        <f t="shared" si="10"/>
        <v/>
      </c>
      <c r="AE20">
        <f t="shared" si="10"/>
        <v>66</v>
      </c>
      <c r="AF20">
        <f t="shared" si="10"/>
        <v>87</v>
      </c>
      <c r="AH20" t="str">
        <f t="shared" ref="AH20:AH29" si="14">_xlfn.TEXTJOIN(",",TRUE,Y20:AG20)</f>
        <v>63,60,66,87</v>
      </c>
    </row>
    <row r="21" spans="1:34" x14ac:dyDescent="0.25">
      <c r="A21">
        <v>1020</v>
      </c>
      <c r="B21">
        <v>1021</v>
      </c>
      <c r="C21">
        <v>1022</v>
      </c>
      <c r="D21">
        <v>1023</v>
      </c>
      <c r="E21">
        <v>1024</v>
      </c>
      <c r="F21">
        <v>1025</v>
      </c>
      <c r="G21">
        <v>1026</v>
      </c>
      <c r="H21">
        <v>1027</v>
      </c>
      <c r="K21">
        <f t="shared" si="11"/>
        <v>62</v>
      </c>
      <c r="L21">
        <f t="shared" si="9"/>
        <v>61</v>
      </c>
      <c r="M21">
        <f t="shared" si="9"/>
        <v>-1</v>
      </c>
      <c r="N21">
        <f t="shared" si="9"/>
        <v>-1</v>
      </c>
      <c r="O21">
        <f t="shared" si="9"/>
        <v>-1</v>
      </c>
      <c r="P21">
        <f t="shared" si="9"/>
        <v>-1</v>
      </c>
      <c r="Q21">
        <f t="shared" si="9"/>
        <v>67</v>
      </c>
      <c r="R21">
        <f t="shared" si="9"/>
        <v>68</v>
      </c>
      <c r="T21" t="str">
        <f t="shared" si="12"/>
        <v>62,61,-1,-1,-1,-1,67,68,</v>
      </c>
      <c r="Y21">
        <f t="shared" si="13"/>
        <v>62</v>
      </c>
      <c r="Z21">
        <f t="shared" si="10"/>
        <v>61</v>
      </c>
      <c r="AA21" t="str">
        <f t="shared" si="10"/>
        <v/>
      </c>
      <c r="AB21" t="str">
        <f t="shared" si="10"/>
        <v/>
      </c>
      <c r="AC21" t="str">
        <f t="shared" si="10"/>
        <v/>
      </c>
      <c r="AD21" t="str">
        <f t="shared" si="10"/>
        <v/>
      </c>
      <c r="AE21">
        <f t="shared" si="10"/>
        <v>67</v>
      </c>
      <c r="AF21">
        <f t="shared" si="10"/>
        <v>68</v>
      </c>
      <c r="AH21" t="str">
        <f t="shared" si="14"/>
        <v>62,61,67,68</v>
      </c>
    </row>
    <row r="22" spans="1:34" x14ac:dyDescent="0.25">
      <c r="A22">
        <v>1030</v>
      </c>
      <c r="B22">
        <v>1031</v>
      </c>
      <c r="C22">
        <v>1032</v>
      </c>
      <c r="D22">
        <v>1033</v>
      </c>
      <c r="E22">
        <v>1034</v>
      </c>
      <c r="F22">
        <v>1035</v>
      </c>
      <c r="G22">
        <v>1036</v>
      </c>
      <c r="H22">
        <v>1037</v>
      </c>
      <c r="K22">
        <f t="shared" si="11"/>
        <v>82</v>
      </c>
      <c r="L22">
        <f t="shared" si="9"/>
        <v>51</v>
      </c>
      <c r="M22">
        <f t="shared" si="9"/>
        <v>-1</v>
      </c>
      <c r="N22">
        <f t="shared" si="9"/>
        <v>26</v>
      </c>
      <c r="O22">
        <f t="shared" si="9"/>
        <v>40</v>
      </c>
      <c r="P22">
        <f t="shared" si="9"/>
        <v>27</v>
      </c>
      <c r="Q22">
        <f t="shared" si="9"/>
        <v>-1</v>
      </c>
      <c r="R22">
        <f t="shared" si="9"/>
        <v>-1</v>
      </c>
      <c r="T22" t="str">
        <f t="shared" si="12"/>
        <v>82,51,-1,26,40,27,-1,-1,</v>
      </c>
      <c r="Y22">
        <f t="shared" si="13"/>
        <v>82</v>
      </c>
      <c r="Z22">
        <f t="shared" si="10"/>
        <v>51</v>
      </c>
      <c r="AA22" t="str">
        <f t="shared" si="10"/>
        <v/>
      </c>
      <c r="AB22">
        <f t="shared" si="10"/>
        <v>26</v>
      </c>
      <c r="AC22">
        <f t="shared" si="10"/>
        <v>40</v>
      </c>
      <c r="AD22">
        <f t="shared" si="10"/>
        <v>27</v>
      </c>
      <c r="AE22" t="str">
        <f t="shared" si="10"/>
        <v/>
      </c>
      <c r="AF22" t="str">
        <f t="shared" si="10"/>
        <v/>
      </c>
      <c r="AH22" t="str">
        <f t="shared" si="14"/>
        <v>82,51,26,40,27</v>
      </c>
    </row>
    <row r="23" spans="1:34" x14ac:dyDescent="0.25">
      <c r="A23">
        <v>1040</v>
      </c>
      <c r="B23">
        <v>1041</v>
      </c>
      <c r="C23">
        <v>1042</v>
      </c>
      <c r="D23">
        <v>1043</v>
      </c>
      <c r="E23">
        <v>1044</v>
      </c>
      <c r="F23">
        <v>1045</v>
      </c>
      <c r="G23">
        <v>1046</v>
      </c>
      <c r="H23">
        <v>1047</v>
      </c>
      <c r="K23">
        <f t="shared" si="11"/>
        <v>71</v>
      </c>
      <c r="L23">
        <f t="shared" si="9"/>
        <v>78</v>
      </c>
      <c r="M23">
        <f t="shared" si="9"/>
        <v>-1</v>
      </c>
      <c r="N23">
        <f t="shared" si="9"/>
        <v>55</v>
      </c>
      <c r="O23">
        <f t="shared" si="9"/>
        <v>43</v>
      </c>
      <c r="P23">
        <f t="shared" si="9"/>
        <v>79</v>
      </c>
      <c r="Q23">
        <f t="shared" si="9"/>
        <v>28</v>
      </c>
      <c r="R23">
        <f t="shared" si="9"/>
        <v>-1</v>
      </c>
      <c r="T23" t="str">
        <f t="shared" si="12"/>
        <v>71,78,-1,55,43,79,28,-1,</v>
      </c>
      <c r="Y23">
        <f t="shared" si="13"/>
        <v>71</v>
      </c>
      <c r="Z23">
        <f t="shared" si="10"/>
        <v>78</v>
      </c>
      <c r="AA23" t="str">
        <f t="shared" si="10"/>
        <v/>
      </c>
      <c r="AB23">
        <f t="shared" si="10"/>
        <v>55</v>
      </c>
      <c r="AC23">
        <f t="shared" si="10"/>
        <v>43</v>
      </c>
      <c r="AD23">
        <f t="shared" si="10"/>
        <v>79</v>
      </c>
      <c r="AE23">
        <f t="shared" si="10"/>
        <v>28</v>
      </c>
      <c r="AF23" t="str">
        <f t="shared" si="10"/>
        <v/>
      </c>
      <c r="AH23" t="str">
        <f t="shared" si="14"/>
        <v>71,78,55,43,79,28</v>
      </c>
    </row>
    <row r="24" spans="1:34" x14ac:dyDescent="0.25">
      <c r="A24">
        <v>1050</v>
      </c>
      <c r="B24">
        <v>1051</v>
      </c>
      <c r="C24">
        <v>1052</v>
      </c>
      <c r="D24">
        <v>1053</v>
      </c>
      <c r="E24">
        <v>1054</v>
      </c>
      <c r="F24">
        <v>1055</v>
      </c>
      <c r="G24">
        <v>1056</v>
      </c>
      <c r="H24">
        <v>1057</v>
      </c>
      <c r="K24">
        <f t="shared" si="11"/>
        <v>41</v>
      </c>
      <c r="L24">
        <f t="shared" si="9"/>
        <v>39</v>
      </c>
      <c r="M24">
        <f t="shared" si="9"/>
        <v>-1</v>
      </c>
      <c r="N24">
        <f t="shared" si="9"/>
        <v>30</v>
      </c>
      <c r="O24">
        <f t="shared" si="9"/>
        <v>48</v>
      </c>
      <c r="P24">
        <f t="shared" si="9"/>
        <v>46</v>
      </c>
      <c r="Q24">
        <f t="shared" si="9"/>
        <v>32</v>
      </c>
      <c r="R24">
        <f t="shared" si="9"/>
        <v>18</v>
      </c>
      <c r="T24" t="str">
        <f t="shared" si="12"/>
        <v>41,39,-1,30,48,46,32,18,</v>
      </c>
      <c r="Y24">
        <f t="shared" si="13"/>
        <v>41</v>
      </c>
      <c r="Z24">
        <f t="shared" si="10"/>
        <v>39</v>
      </c>
      <c r="AA24" t="str">
        <f t="shared" si="10"/>
        <v/>
      </c>
      <c r="AB24">
        <f t="shared" si="10"/>
        <v>30</v>
      </c>
      <c r="AC24">
        <f t="shared" si="10"/>
        <v>48</v>
      </c>
      <c r="AD24">
        <f t="shared" si="10"/>
        <v>46</v>
      </c>
      <c r="AE24">
        <f t="shared" si="10"/>
        <v>32</v>
      </c>
      <c r="AF24">
        <f t="shared" si="10"/>
        <v>18</v>
      </c>
      <c r="AH24" t="str">
        <f t="shared" si="14"/>
        <v>41,39,30,48,46,32,18</v>
      </c>
    </row>
    <row r="25" spans="1:34" x14ac:dyDescent="0.25">
      <c r="A25">
        <v>1060</v>
      </c>
      <c r="B25">
        <v>1061</v>
      </c>
      <c r="C25">
        <v>1062</v>
      </c>
      <c r="D25">
        <v>1063</v>
      </c>
      <c r="E25">
        <v>1064</v>
      </c>
      <c r="F25">
        <v>1065</v>
      </c>
      <c r="G25">
        <v>1066</v>
      </c>
      <c r="H25">
        <v>1067</v>
      </c>
      <c r="K25">
        <f t="shared" si="11"/>
        <v>73</v>
      </c>
      <c r="L25">
        <f t="shared" si="9"/>
        <v>81</v>
      </c>
      <c r="M25">
        <f t="shared" si="9"/>
        <v>-1</v>
      </c>
      <c r="N25">
        <f t="shared" si="9"/>
        <v>33</v>
      </c>
      <c r="O25">
        <f t="shared" si="9"/>
        <v>34</v>
      </c>
      <c r="P25">
        <f t="shared" si="9"/>
        <v>35</v>
      </c>
      <c r="Q25">
        <f t="shared" si="9"/>
        <v>23</v>
      </c>
      <c r="R25">
        <f t="shared" si="9"/>
        <v>36</v>
      </c>
      <c r="T25" t="str">
        <f t="shared" si="12"/>
        <v>73,81,-1,33,34,35,23,36,</v>
      </c>
      <c r="Y25">
        <f t="shared" si="13"/>
        <v>73</v>
      </c>
      <c r="Z25">
        <f t="shared" si="10"/>
        <v>81</v>
      </c>
      <c r="AA25" t="str">
        <f t="shared" si="10"/>
        <v/>
      </c>
      <c r="AB25">
        <f t="shared" si="10"/>
        <v>33</v>
      </c>
      <c r="AC25">
        <f t="shared" si="10"/>
        <v>34</v>
      </c>
      <c r="AD25">
        <f t="shared" si="10"/>
        <v>35</v>
      </c>
      <c r="AE25">
        <f t="shared" si="10"/>
        <v>23</v>
      </c>
      <c r="AF25">
        <f t="shared" si="10"/>
        <v>36</v>
      </c>
      <c r="AH25" t="str">
        <f t="shared" si="14"/>
        <v>73,81,33,34,35,23,36</v>
      </c>
    </row>
    <row r="26" spans="1:34" x14ac:dyDescent="0.25">
      <c r="A26">
        <v>1070</v>
      </c>
      <c r="B26">
        <v>1071</v>
      </c>
      <c r="C26">
        <v>1072</v>
      </c>
      <c r="D26">
        <v>1073</v>
      </c>
      <c r="E26">
        <v>1074</v>
      </c>
      <c r="F26">
        <v>1075</v>
      </c>
      <c r="G26">
        <v>1076</v>
      </c>
      <c r="H26">
        <v>1077</v>
      </c>
      <c r="K26">
        <f t="shared" si="11"/>
        <v>2</v>
      </c>
      <c r="L26">
        <f t="shared" si="9"/>
        <v>3</v>
      </c>
      <c r="M26">
        <f t="shared" si="9"/>
        <v>4</v>
      </c>
      <c r="N26">
        <f t="shared" si="9"/>
        <v>37</v>
      </c>
      <c r="O26">
        <f t="shared" si="9"/>
        <v>38</v>
      </c>
      <c r="P26">
        <f t="shared" si="9"/>
        <v>50</v>
      </c>
      <c r="Q26">
        <f t="shared" si="9"/>
        <v>49</v>
      </c>
      <c r="R26">
        <f t="shared" si="9"/>
        <v>24</v>
      </c>
      <c r="T26" t="str">
        <f t="shared" si="12"/>
        <v>2,3,4,37,38,50,49,24,</v>
      </c>
      <c r="Y26">
        <f t="shared" si="13"/>
        <v>2</v>
      </c>
      <c r="Z26">
        <f t="shared" si="10"/>
        <v>3</v>
      </c>
      <c r="AA26">
        <f t="shared" si="10"/>
        <v>4</v>
      </c>
      <c r="AB26">
        <f t="shared" si="10"/>
        <v>37</v>
      </c>
      <c r="AC26">
        <f t="shared" si="10"/>
        <v>38</v>
      </c>
      <c r="AD26">
        <f t="shared" si="10"/>
        <v>50</v>
      </c>
      <c r="AE26">
        <f t="shared" si="10"/>
        <v>49</v>
      </c>
      <c r="AF26">
        <f t="shared" si="10"/>
        <v>24</v>
      </c>
      <c r="AH26" t="str">
        <f t="shared" si="14"/>
        <v>2,3,4,37,38,50,49,24</v>
      </c>
    </row>
    <row r="27" spans="1:34" x14ac:dyDescent="0.25">
      <c r="A27">
        <v>1080</v>
      </c>
      <c r="B27">
        <v>1081</v>
      </c>
      <c r="C27">
        <v>1082</v>
      </c>
      <c r="D27">
        <v>1083</v>
      </c>
      <c r="E27">
        <v>1084</v>
      </c>
      <c r="F27">
        <v>1085</v>
      </c>
      <c r="G27">
        <v>1086</v>
      </c>
      <c r="H27">
        <v>1087</v>
      </c>
      <c r="K27">
        <f t="shared" si="11"/>
        <v>5</v>
      </c>
      <c r="L27">
        <f t="shared" si="9"/>
        <v>6</v>
      </c>
      <c r="M27">
        <f t="shared" si="9"/>
        <v>7</v>
      </c>
      <c r="N27">
        <f t="shared" si="9"/>
        <v>25</v>
      </c>
      <c r="O27">
        <f t="shared" si="9"/>
        <v>16</v>
      </c>
      <c r="P27">
        <f t="shared" si="9"/>
        <v>19</v>
      </c>
      <c r="Q27">
        <f t="shared" si="9"/>
        <v>31</v>
      </c>
      <c r="R27">
        <f t="shared" si="9"/>
        <v>20</v>
      </c>
      <c r="T27" t="str">
        <f t="shared" si="12"/>
        <v>5,6,7,25,16,19,31,20,</v>
      </c>
      <c r="Y27">
        <f t="shared" si="13"/>
        <v>5</v>
      </c>
      <c r="Z27">
        <f t="shared" si="10"/>
        <v>6</v>
      </c>
      <c r="AA27">
        <f t="shared" si="10"/>
        <v>7</v>
      </c>
      <c r="AB27">
        <f t="shared" si="10"/>
        <v>25</v>
      </c>
      <c r="AC27">
        <f t="shared" si="10"/>
        <v>16</v>
      </c>
      <c r="AD27">
        <f t="shared" si="10"/>
        <v>19</v>
      </c>
      <c r="AE27">
        <f t="shared" si="10"/>
        <v>31</v>
      </c>
      <c r="AF27">
        <f t="shared" si="10"/>
        <v>20</v>
      </c>
      <c r="AH27" t="str">
        <f t="shared" si="14"/>
        <v>5,6,7,25,16,19,31,20</v>
      </c>
    </row>
    <row r="28" spans="1:34" x14ac:dyDescent="0.25">
      <c r="A28">
        <v>1090</v>
      </c>
      <c r="B28">
        <v>1091</v>
      </c>
      <c r="C28">
        <v>1092</v>
      </c>
      <c r="D28">
        <v>1093</v>
      </c>
      <c r="E28">
        <v>1094</v>
      </c>
      <c r="F28">
        <v>1095</v>
      </c>
      <c r="G28">
        <v>1096</v>
      </c>
      <c r="H28">
        <v>1097</v>
      </c>
      <c r="K28">
        <f t="shared" si="11"/>
        <v>8</v>
      </c>
      <c r="L28">
        <f t="shared" si="9"/>
        <v>9</v>
      </c>
      <c r="M28">
        <f t="shared" si="9"/>
        <v>10</v>
      </c>
      <c r="N28">
        <f t="shared" si="9"/>
        <v>22</v>
      </c>
      <c r="O28">
        <f t="shared" si="9"/>
        <v>47</v>
      </c>
      <c r="P28">
        <f t="shared" si="9"/>
        <v>17</v>
      </c>
      <c r="Q28">
        <f t="shared" si="9"/>
        <v>45</v>
      </c>
      <c r="R28">
        <f t="shared" si="9"/>
        <v>21</v>
      </c>
      <c r="T28" t="str">
        <f t="shared" si="12"/>
        <v>8,9,10,22,47,17,45,21,</v>
      </c>
      <c r="Y28">
        <f t="shared" si="13"/>
        <v>8</v>
      </c>
      <c r="Z28">
        <f t="shared" si="10"/>
        <v>9</v>
      </c>
      <c r="AA28">
        <f t="shared" si="10"/>
        <v>10</v>
      </c>
      <c r="AB28">
        <f t="shared" si="10"/>
        <v>22</v>
      </c>
      <c r="AC28">
        <f t="shared" si="10"/>
        <v>47</v>
      </c>
      <c r="AD28">
        <f t="shared" si="10"/>
        <v>17</v>
      </c>
      <c r="AE28">
        <f t="shared" si="10"/>
        <v>45</v>
      </c>
      <c r="AF28">
        <f t="shared" si="10"/>
        <v>21</v>
      </c>
      <c r="AH28" t="str">
        <f t="shared" si="14"/>
        <v>8,9,10,22,47,17,45,21</v>
      </c>
    </row>
    <row r="29" spans="1:34" x14ac:dyDescent="0.25">
      <c r="A29">
        <v>1100</v>
      </c>
      <c r="B29">
        <v>1101</v>
      </c>
      <c r="C29">
        <v>1102</v>
      </c>
      <c r="D29">
        <v>1103</v>
      </c>
      <c r="E29">
        <v>1104</v>
      </c>
      <c r="F29">
        <v>1105</v>
      </c>
      <c r="G29">
        <v>1106</v>
      </c>
      <c r="H29">
        <v>1107</v>
      </c>
      <c r="K29">
        <f t="shared" si="11"/>
        <v>52</v>
      </c>
      <c r="L29">
        <f t="shared" si="9"/>
        <v>11</v>
      </c>
      <c r="M29">
        <f t="shared" si="9"/>
        <v>12</v>
      </c>
      <c r="N29">
        <f t="shared" si="9"/>
        <v>44</v>
      </c>
      <c r="O29">
        <f t="shared" si="9"/>
        <v>57</v>
      </c>
      <c r="P29">
        <f t="shared" si="9"/>
        <v>83</v>
      </c>
      <c r="Q29">
        <f t="shared" si="9"/>
        <v>53</v>
      </c>
      <c r="R29">
        <f t="shared" si="9"/>
        <v>14</v>
      </c>
      <c r="T29" t="str">
        <f t="shared" ref="T20:T29" si="15">_xlfn.TEXTJOIN(",",FALSE,K29:R29)</f>
        <v>52,11,12,44,57,83,53,14</v>
      </c>
      <c r="Y29">
        <f t="shared" si="13"/>
        <v>52</v>
      </c>
      <c r="Z29">
        <f t="shared" si="10"/>
        <v>11</v>
      </c>
      <c r="AA29">
        <f t="shared" si="10"/>
        <v>12</v>
      </c>
      <c r="AB29">
        <f t="shared" si="10"/>
        <v>44</v>
      </c>
      <c r="AC29">
        <f t="shared" si="10"/>
        <v>57</v>
      </c>
      <c r="AD29">
        <f t="shared" si="10"/>
        <v>83</v>
      </c>
      <c r="AE29">
        <f t="shared" si="10"/>
        <v>53</v>
      </c>
      <c r="AF29">
        <f t="shared" si="10"/>
        <v>14</v>
      </c>
      <c r="AH29" t="str">
        <f t="shared" si="14"/>
        <v>52,11,12,44,57,83,53,14</v>
      </c>
    </row>
    <row r="32" spans="1:34" x14ac:dyDescent="0.25">
      <c r="K32" t="str">
        <f>_xlfn.XLOOKUP(A19,$E$46:$E$114,$F$46:$F$114," ")</f>
        <v>F6</v>
      </c>
      <c r="L32" t="str">
        <f t="shared" ref="L32:R43" si="16">_xlfn.XLOOKUP(B19,$E$46:$E$114,$F$46:$F$114," ")</f>
        <v>F1</v>
      </c>
      <c r="M32" t="str">
        <f t="shared" si="16"/>
        <v xml:space="preserve"> </v>
      </c>
      <c r="N32" t="str">
        <f t="shared" si="16"/>
        <v xml:space="preserve"> </v>
      </c>
      <c r="O32" t="str">
        <f t="shared" si="16"/>
        <v xml:space="preserve"> </v>
      </c>
      <c r="P32" t="str">
        <f t="shared" si="16"/>
        <v xml:space="preserve"> </v>
      </c>
      <c r="Q32" t="str">
        <f t="shared" si="16"/>
        <v>F7</v>
      </c>
      <c r="R32" t="str">
        <f t="shared" si="16"/>
        <v>F12</v>
      </c>
    </row>
    <row r="33" spans="1:34" x14ac:dyDescent="0.25">
      <c r="K33" t="str">
        <f t="shared" ref="K33:K43" si="17">_xlfn.XLOOKUP(A20,$E$46:$E$114,$F$46:$F$114," ")</f>
        <v>F5</v>
      </c>
      <c r="L33" t="str">
        <f t="shared" si="16"/>
        <v>F2</v>
      </c>
      <c r="M33" t="str">
        <f t="shared" si="16"/>
        <v xml:space="preserve"> </v>
      </c>
      <c r="N33" t="str">
        <f t="shared" si="16"/>
        <v xml:space="preserve"> </v>
      </c>
      <c r="O33" t="str">
        <f t="shared" si="16"/>
        <v xml:space="preserve"> </v>
      </c>
      <c r="P33" t="str">
        <f t="shared" si="16"/>
        <v xml:space="preserve"> </v>
      </c>
      <c r="Q33" t="str">
        <f t="shared" si="16"/>
        <v>F8</v>
      </c>
      <c r="R33" t="str">
        <f t="shared" si="16"/>
        <v>F11</v>
      </c>
    </row>
    <row r="34" spans="1:34" x14ac:dyDescent="0.25">
      <c r="K34" t="str">
        <f t="shared" si="17"/>
        <v>F4</v>
      </c>
      <c r="L34" t="str">
        <f t="shared" si="16"/>
        <v>F3</v>
      </c>
      <c r="M34" t="str">
        <f t="shared" si="16"/>
        <v xml:space="preserve"> </v>
      </c>
      <c r="N34" t="str">
        <f t="shared" si="16"/>
        <v xml:space="preserve"> </v>
      </c>
      <c r="O34" t="str">
        <f t="shared" si="16"/>
        <v xml:space="preserve"> </v>
      </c>
      <c r="P34" t="str">
        <f t="shared" si="16"/>
        <v xml:space="preserve"> </v>
      </c>
      <c r="Q34" t="str">
        <f t="shared" si="16"/>
        <v>F9</v>
      </c>
      <c r="R34" t="str">
        <f t="shared" si="16"/>
        <v>F10</v>
      </c>
    </row>
    <row r="35" spans="1:34" x14ac:dyDescent="0.25">
      <c r="K35" t="str">
        <f t="shared" si="17"/>
        <v>Ins</v>
      </c>
      <c r="L35" t="str">
        <f t="shared" si="16"/>
        <v>,</v>
      </c>
      <c r="M35" t="str">
        <f t="shared" si="16"/>
        <v xml:space="preserve"> </v>
      </c>
      <c r="N35" t="str">
        <f t="shared" si="16"/>
        <v>[</v>
      </c>
      <c r="O35" t="str">
        <f t="shared" si="16"/>
        <v>'</v>
      </c>
      <c r="P35" t="str">
        <f t="shared" si="16"/>
        <v>]</v>
      </c>
      <c r="Q35" t="str">
        <f t="shared" si="16"/>
        <v xml:space="preserve"> </v>
      </c>
      <c r="R35" t="str">
        <f t="shared" si="16"/>
        <v xml:space="preserve"> </v>
      </c>
    </row>
    <row r="36" spans="1:34" x14ac:dyDescent="0.25">
      <c r="K36" t="str">
        <f>_xlfn.XLOOKUP(A23,$E$46:$E$114,$F$46:$F$114," ")</f>
        <v>Home (7)</v>
      </c>
      <c r="L36" t="str">
        <f t="shared" si="16"/>
        <v>+</v>
      </c>
      <c r="M36" t="str">
        <f t="shared" si="16"/>
        <v xml:space="preserve"> </v>
      </c>
      <c r="N36" t="str">
        <f t="shared" si="16"/>
        <v>*</v>
      </c>
      <c r="O36" t="str">
        <f t="shared" si="16"/>
        <v>\</v>
      </c>
      <c r="P36" t="str">
        <f t="shared" si="16"/>
        <v>End (1)</v>
      </c>
      <c r="Q36" t="str">
        <f t="shared" si="16"/>
        <v>Enter</v>
      </c>
      <c r="R36" t="str">
        <f t="shared" si="16"/>
        <v xml:space="preserve"> </v>
      </c>
    </row>
    <row r="37" spans="1:34" x14ac:dyDescent="0.25">
      <c r="K37" t="str">
        <f t="shared" si="17"/>
        <v>`</v>
      </c>
      <c r="L37" t="str">
        <f t="shared" si="16"/>
        <v>;</v>
      </c>
      <c r="M37" t="str">
        <f t="shared" si="16"/>
        <v xml:space="preserve"> </v>
      </c>
      <c r="N37" t="str">
        <f t="shared" si="16"/>
        <v>A</v>
      </c>
      <c r="O37" t="str">
        <f t="shared" si="16"/>
        <v>B</v>
      </c>
      <c r="P37" t="str">
        <f t="shared" si="16"/>
        <v>C</v>
      </c>
      <c r="Q37" t="str">
        <f t="shared" si="16"/>
        <v>D</v>
      </c>
      <c r="R37" t="str">
        <f t="shared" si="16"/>
        <v>E</v>
      </c>
    </row>
    <row r="38" spans="1:34" x14ac:dyDescent="0.25">
      <c r="K38" t="str">
        <f t="shared" si="17"/>
        <v>PgUp (9)</v>
      </c>
      <c r="L38" t="str">
        <f t="shared" si="16"/>
        <v>PgDn (3)</v>
      </c>
      <c r="M38" t="str">
        <f t="shared" si="16"/>
        <v xml:space="preserve"> </v>
      </c>
      <c r="N38" t="str">
        <f t="shared" si="16"/>
        <v>F</v>
      </c>
      <c r="O38" t="str">
        <f t="shared" si="16"/>
        <v>G</v>
      </c>
      <c r="P38" t="str">
        <f t="shared" si="16"/>
        <v>H</v>
      </c>
      <c r="Q38" t="str">
        <f t="shared" si="16"/>
        <v>I</v>
      </c>
      <c r="R38" t="str">
        <f t="shared" si="16"/>
        <v>J</v>
      </c>
    </row>
    <row r="39" spans="1:34" x14ac:dyDescent="0.25">
      <c r="K39">
        <f t="shared" si="17"/>
        <v>1</v>
      </c>
      <c r="L39">
        <f t="shared" si="16"/>
        <v>2</v>
      </c>
      <c r="M39">
        <f t="shared" si="16"/>
        <v>3</v>
      </c>
      <c r="N39" t="str">
        <f t="shared" si="16"/>
        <v>K</v>
      </c>
      <c r="O39" t="str">
        <f t="shared" si="16"/>
        <v>L</v>
      </c>
      <c r="P39" t="str">
        <f t="shared" si="16"/>
        <v>M</v>
      </c>
      <c r="Q39" t="str">
        <f t="shared" si="16"/>
        <v>N</v>
      </c>
      <c r="R39" t="str">
        <f t="shared" si="16"/>
        <v>O</v>
      </c>
    </row>
    <row r="40" spans="1:34" x14ac:dyDescent="0.25">
      <c r="K40">
        <f t="shared" si="17"/>
        <v>4</v>
      </c>
      <c r="L40">
        <f t="shared" si="16"/>
        <v>5</v>
      </c>
      <c r="M40">
        <f t="shared" si="16"/>
        <v>6</v>
      </c>
      <c r="N40" t="str">
        <f t="shared" si="16"/>
        <v>P</v>
      </c>
      <c r="O40" t="str">
        <f t="shared" si="16"/>
        <v>Q</v>
      </c>
      <c r="P40" t="str">
        <f t="shared" si="16"/>
        <v>R</v>
      </c>
      <c r="Q40" t="str">
        <f t="shared" si="16"/>
        <v>S</v>
      </c>
      <c r="R40" t="str">
        <f t="shared" si="16"/>
        <v>T</v>
      </c>
    </row>
    <row r="41" spans="1:34" x14ac:dyDescent="0.25">
      <c r="K41">
        <f t="shared" si="17"/>
        <v>7</v>
      </c>
      <c r="L41">
        <f t="shared" si="16"/>
        <v>8</v>
      </c>
      <c r="M41">
        <f t="shared" si="16"/>
        <v>9</v>
      </c>
      <c r="N41" t="str">
        <f t="shared" si="16"/>
        <v>U</v>
      </c>
      <c r="O41" t="str">
        <f t="shared" si="16"/>
        <v>V</v>
      </c>
      <c r="P41" t="str">
        <f t="shared" si="16"/>
        <v>W</v>
      </c>
      <c r="Q41" t="str">
        <f t="shared" si="16"/>
        <v>X</v>
      </c>
      <c r="R41" t="str">
        <f t="shared" si="16"/>
        <v>Y</v>
      </c>
    </row>
    <row r="42" spans="1:34" x14ac:dyDescent="0.25">
      <c r="K42" t="str">
        <f t="shared" si="17"/>
        <v>.</v>
      </c>
      <c r="L42">
        <f t="shared" si="16"/>
        <v>0</v>
      </c>
      <c r="M42" t="str">
        <f t="shared" si="16"/>
        <v>-</v>
      </c>
      <c r="N42" t="str">
        <f t="shared" si="16"/>
        <v>Z</v>
      </c>
      <c r="O42" t="str">
        <f t="shared" si="16"/>
        <v>Space</v>
      </c>
      <c r="P42" t="str">
        <f t="shared" si="16"/>
        <v>Del</v>
      </c>
      <c r="Q42" t="str">
        <f t="shared" si="16"/>
        <v>/</v>
      </c>
      <c r="R42" t="str">
        <f t="shared" si="16"/>
        <v>bs</v>
      </c>
    </row>
    <row r="43" spans="1:34" x14ac:dyDescent="0.25">
      <c r="K43" t="str">
        <f t="shared" si="17"/>
        <v xml:space="preserve"> </v>
      </c>
      <c r="L43" t="str">
        <f t="shared" si="16"/>
        <v xml:space="preserve"> </v>
      </c>
      <c r="M43" t="str">
        <f t="shared" si="16"/>
        <v xml:space="preserve"> </v>
      </c>
      <c r="N43" t="str">
        <f t="shared" si="16"/>
        <v xml:space="preserve"> </v>
      </c>
      <c r="O43" t="str">
        <f t="shared" si="16"/>
        <v xml:space="preserve"> </v>
      </c>
      <c r="P43" t="str">
        <f t="shared" si="16"/>
        <v xml:space="preserve"> </v>
      </c>
      <c r="Q43" t="str">
        <f t="shared" si="16"/>
        <v xml:space="preserve"> </v>
      </c>
      <c r="R43" t="str">
        <f t="shared" si="16"/>
        <v xml:space="preserve"> </v>
      </c>
    </row>
    <row r="45" spans="1:34" x14ac:dyDescent="0.25">
      <c r="K45" t="str">
        <f>CHAR(34) &amp; _xlfn.XLOOKUP(A19,$E$46:$E$114,$D$46:$D$114," ") &amp;CHAR(34)</f>
        <v>"LSK6L"</v>
      </c>
      <c r="L45" t="str">
        <f t="shared" ref="L45:R55" si="18">CHAR(34) &amp; _xlfn.XLOOKUP(B19,$E$46:$E$114,$D$46:$D$114," ") &amp;CHAR(34)</f>
        <v>"LSK1L"</v>
      </c>
      <c r="M45" t="str">
        <f t="shared" si="18"/>
        <v>" "</v>
      </c>
      <c r="N45" t="str">
        <f t="shared" si="18"/>
        <v>" "</v>
      </c>
      <c r="O45" t="str">
        <f t="shared" si="18"/>
        <v>" "</v>
      </c>
      <c r="P45" t="str">
        <f t="shared" si="18"/>
        <v>" "</v>
      </c>
      <c r="Q45" t="str">
        <f t="shared" si="18"/>
        <v>"LSK1R"</v>
      </c>
      <c r="R45" t="str">
        <f t="shared" si="18"/>
        <v>"LSK6R"</v>
      </c>
      <c r="S45" t="str">
        <f>""</f>
        <v/>
      </c>
      <c r="T45" t="str">
        <f>_xlfn.TEXTJOIN(",",FALSE,K45:S45)</f>
        <v>"LSK6L","LSK1L"," "," "," "," ","LSK1R","LSK6R",</v>
      </c>
      <c r="Y45" t="str">
        <f>IF(K45 = """ """, "", K45)</f>
        <v>"LSK6L"</v>
      </c>
      <c r="Z45" t="str">
        <f t="shared" ref="Z45:AF45" si="19">IF(L45 = """ """, "", L45)</f>
        <v>"LSK1L"</v>
      </c>
      <c r="AA45" t="str">
        <f t="shared" si="19"/>
        <v/>
      </c>
      <c r="AB45" t="str">
        <f t="shared" si="19"/>
        <v/>
      </c>
      <c r="AC45" t="str">
        <f t="shared" si="19"/>
        <v/>
      </c>
      <c r="AD45" t="str">
        <f t="shared" si="19"/>
        <v/>
      </c>
      <c r="AE45" t="str">
        <f t="shared" si="19"/>
        <v>"LSK1R"</v>
      </c>
      <c r="AF45" t="str">
        <f t="shared" si="19"/>
        <v>"LSK6R"</v>
      </c>
      <c r="AH45" t="str">
        <f>_xlfn.TEXTJOIN(",",TRUE,Y45:AG45)</f>
        <v>"LSK6L","LSK1L","LSK1R","LSK6R"</v>
      </c>
    </row>
    <row r="46" spans="1:34" x14ac:dyDescent="0.25">
      <c r="A46">
        <v>1</v>
      </c>
      <c r="B46" t="s">
        <v>61</v>
      </c>
      <c r="D46" t="str">
        <f>A2</f>
        <v>LSK1L</v>
      </c>
      <c r="E46">
        <f t="shared" ref="E46:G46" si="20">B2</f>
        <v>1001</v>
      </c>
      <c r="F46" t="str">
        <f t="shared" si="20"/>
        <v>F1</v>
      </c>
      <c r="G46">
        <f t="shared" si="20"/>
        <v>59</v>
      </c>
      <c r="K46" t="str">
        <f t="shared" ref="K46:K55" si="21">CHAR(34) &amp; _xlfn.XLOOKUP(A20,$E$46:$E$114,$D$46:$D$114," ") &amp;CHAR(34)</f>
        <v>"LSK5L"</v>
      </c>
      <c r="L46" t="str">
        <f t="shared" si="18"/>
        <v>"LSK2L"</v>
      </c>
      <c r="M46" t="str">
        <f t="shared" si="18"/>
        <v>" "</v>
      </c>
      <c r="N46" t="str">
        <f t="shared" si="18"/>
        <v>" "</v>
      </c>
      <c r="O46" t="str">
        <f t="shared" si="18"/>
        <v>" "</v>
      </c>
      <c r="P46" t="str">
        <f t="shared" si="18"/>
        <v>" "</v>
      </c>
      <c r="Q46" t="str">
        <f t="shared" si="18"/>
        <v>"LSK2R"</v>
      </c>
      <c r="R46" t="str">
        <f t="shared" si="18"/>
        <v>"LSK5R"</v>
      </c>
      <c r="T46" t="str">
        <f t="shared" ref="T46:T55" si="22">_xlfn.TEXTJOIN(",",FALSE,K46:S46)</f>
        <v>"LSK5L","LSK2L"," "," "," "," ","LSK2R","LSK5R",</v>
      </c>
      <c r="Y46" t="str">
        <f t="shared" ref="Y46:Y55" si="23">IF(K46 = """ """, "", K46)</f>
        <v>"LSK5L"</v>
      </c>
      <c r="Z46" t="str">
        <f t="shared" ref="Z46:Z55" si="24">IF(L46 = """ """, "", L46)</f>
        <v>"LSK2L"</v>
      </c>
      <c r="AA46" t="str">
        <f t="shared" ref="AA46:AA55" si="25">IF(M46 = """ """, "", M46)</f>
        <v/>
      </c>
      <c r="AB46" t="str">
        <f t="shared" ref="AB46:AB55" si="26">IF(N46 = """ """, "", N46)</f>
        <v/>
      </c>
      <c r="AC46" t="str">
        <f t="shared" ref="AC46:AC55" si="27">IF(O46 = """ """, "", O46)</f>
        <v/>
      </c>
      <c r="AD46" t="str">
        <f t="shared" ref="AD46:AD55" si="28">IF(P46 = """ """, "", P46)</f>
        <v/>
      </c>
      <c r="AE46" t="str">
        <f t="shared" ref="AE46:AE55" si="29">IF(Q46 = """ """, "", Q46)</f>
        <v>"LSK2R"</v>
      </c>
      <c r="AF46" t="str">
        <f t="shared" ref="AF46:AF55" si="30">IF(R46 = """ """, "", R46)</f>
        <v>"LSK5R"</v>
      </c>
      <c r="AH46" t="str">
        <f t="shared" ref="AH46:AH55" si="31">_xlfn.TEXTJOIN(",",TRUE,Y46:AG46)</f>
        <v>"LSK5L","LSK2L","LSK2R","LSK5R"</v>
      </c>
    </row>
    <row r="47" spans="1:34" x14ac:dyDescent="0.25">
      <c r="A47">
        <v>2</v>
      </c>
      <c r="B47">
        <v>1</v>
      </c>
      <c r="D47" t="str">
        <f t="shared" ref="D47:D55" si="32">A3</f>
        <v>LSK2L</v>
      </c>
      <c r="E47">
        <f t="shared" ref="E47:E56" si="33">B3</f>
        <v>1011</v>
      </c>
      <c r="F47" t="str">
        <f t="shared" ref="F47:F56" si="34">C3</f>
        <v>F2</v>
      </c>
      <c r="G47">
        <f t="shared" ref="G47:G56" si="35">D3</f>
        <v>60</v>
      </c>
      <c r="K47" t="str">
        <f t="shared" si="21"/>
        <v>"LSK4L"</v>
      </c>
      <c r="L47" t="str">
        <f t="shared" si="18"/>
        <v>"LSK3L"</v>
      </c>
      <c r="M47" t="str">
        <f t="shared" si="18"/>
        <v>" "</v>
      </c>
      <c r="N47" t="str">
        <f t="shared" si="18"/>
        <v>" "</v>
      </c>
      <c r="O47" t="str">
        <f t="shared" si="18"/>
        <v>" "</v>
      </c>
      <c r="P47" t="str">
        <f t="shared" si="18"/>
        <v>" "</v>
      </c>
      <c r="Q47" t="str">
        <f t="shared" si="18"/>
        <v>"LSK3R"</v>
      </c>
      <c r="R47" t="str">
        <f t="shared" si="18"/>
        <v>"LSK4R"</v>
      </c>
      <c r="T47" t="str">
        <f t="shared" si="22"/>
        <v>"LSK4L","LSK3L"," "," "," "," ","LSK3R","LSK4R",</v>
      </c>
      <c r="Y47" t="str">
        <f t="shared" si="23"/>
        <v>"LSK4L"</v>
      </c>
      <c r="Z47" t="str">
        <f t="shared" si="24"/>
        <v>"LSK3L"</v>
      </c>
      <c r="AA47" t="str">
        <f t="shared" si="25"/>
        <v/>
      </c>
      <c r="AB47" t="str">
        <f t="shared" si="26"/>
        <v/>
      </c>
      <c r="AC47" t="str">
        <f t="shared" si="27"/>
        <v/>
      </c>
      <c r="AD47" t="str">
        <f t="shared" si="28"/>
        <v/>
      </c>
      <c r="AE47" t="str">
        <f t="shared" si="29"/>
        <v>"LSK3R"</v>
      </c>
      <c r="AF47" t="str">
        <f t="shared" si="30"/>
        <v>"LSK4R"</v>
      </c>
      <c r="AH47" t="str">
        <f t="shared" si="31"/>
        <v>"LSK4L","LSK3L","LSK3R","LSK4R"</v>
      </c>
    </row>
    <row r="48" spans="1:34" x14ac:dyDescent="0.25">
      <c r="A48">
        <v>3</v>
      </c>
      <c r="B48">
        <v>2</v>
      </c>
      <c r="D48" t="str">
        <f t="shared" si="32"/>
        <v>LSK3L</v>
      </c>
      <c r="E48">
        <f t="shared" si="33"/>
        <v>1021</v>
      </c>
      <c r="F48" t="str">
        <f t="shared" si="34"/>
        <v>F3</v>
      </c>
      <c r="G48">
        <f t="shared" si="35"/>
        <v>61</v>
      </c>
      <c r="K48" t="str">
        <f t="shared" si="21"/>
        <v>"INIT REF"</v>
      </c>
      <c r="L48" t="str">
        <f t="shared" si="18"/>
        <v>"RTE"</v>
      </c>
      <c r="M48" t="str">
        <f t="shared" si="18"/>
        <v>" "</v>
      </c>
      <c r="N48" t="str">
        <f t="shared" si="18"/>
        <v>"CLB"</v>
      </c>
      <c r="O48" t="str">
        <f t="shared" si="18"/>
        <v>"CRZ"</v>
      </c>
      <c r="P48" t="str">
        <f t="shared" si="18"/>
        <v>"DES"</v>
      </c>
      <c r="Q48" t="str">
        <f t="shared" si="18"/>
        <v>" "</v>
      </c>
      <c r="R48" t="str">
        <f t="shared" si="18"/>
        <v>" "</v>
      </c>
      <c r="T48" t="str">
        <f t="shared" si="22"/>
        <v>"INIT REF","RTE"," ","CLB","CRZ","DES"," "," ",</v>
      </c>
      <c r="Y48" t="str">
        <f t="shared" si="23"/>
        <v>"INIT REF"</v>
      </c>
      <c r="Z48" t="str">
        <f t="shared" si="24"/>
        <v>"RTE"</v>
      </c>
      <c r="AA48" t="str">
        <f t="shared" si="25"/>
        <v/>
      </c>
      <c r="AB48" t="str">
        <f t="shared" si="26"/>
        <v>"CLB"</v>
      </c>
      <c r="AC48" t="str">
        <f t="shared" si="27"/>
        <v>"CRZ"</v>
      </c>
      <c r="AD48" t="str">
        <f t="shared" si="28"/>
        <v>"DES"</v>
      </c>
      <c r="AE48" t="str">
        <f t="shared" si="29"/>
        <v/>
      </c>
      <c r="AF48" t="str">
        <f t="shared" si="30"/>
        <v/>
      </c>
      <c r="AH48" t="str">
        <f t="shared" si="31"/>
        <v>"INIT REF","RTE","CLB","CRZ","DES"</v>
      </c>
    </row>
    <row r="49" spans="1:34" x14ac:dyDescent="0.25">
      <c r="A49">
        <v>4</v>
      </c>
      <c r="B49">
        <v>3</v>
      </c>
      <c r="D49" t="str">
        <f t="shared" si="32"/>
        <v>LSK4L</v>
      </c>
      <c r="E49">
        <f t="shared" si="33"/>
        <v>1020</v>
      </c>
      <c r="F49" t="str">
        <f t="shared" si="34"/>
        <v>F4</v>
      </c>
      <c r="G49">
        <f t="shared" si="35"/>
        <v>62</v>
      </c>
      <c r="K49" t="str">
        <f t="shared" si="21"/>
        <v>"MENU"</v>
      </c>
      <c r="L49" t="str">
        <f t="shared" si="18"/>
        <v>"LEGS"</v>
      </c>
      <c r="M49" t="str">
        <f t="shared" si="18"/>
        <v>" "</v>
      </c>
      <c r="N49" t="str">
        <f t="shared" si="18"/>
        <v>"DEP ARR"</v>
      </c>
      <c r="O49" t="str">
        <f t="shared" si="18"/>
        <v>"HOLD"</v>
      </c>
      <c r="P49" t="str">
        <f t="shared" si="18"/>
        <v>"PROG"</v>
      </c>
      <c r="Q49" t="str">
        <f t="shared" si="18"/>
        <v>"EXEC"</v>
      </c>
      <c r="R49" t="str">
        <f t="shared" si="18"/>
        <v>" "</v>
      </c>
      <c r="T49" t="str">
        <f t="shared" si="22"/>
        <v>"MENU","LEGS"," ","DEP ARR","HOLD","PROG","EXEC"," ",</v>
      </c>
      <c r="Y49" t="str">
        <f t="shared" si="23"/>
        <v>"MENU"</v>
      </c>
      <c r="Z49" t="str">
        <f t="shared" si="24"/>
        <v>"LEGS"</v>
      </c>
      <c r="AA49" t="str">
        <f t="shared" si="25"/>
        <v/>
      </c>
      <c r="AB49" t="str">
        <f t="shared" si="26"/>
        <v>"DEP ARR"</v>
      </c>
      <c r="AC49" t="str">
        <f t="shared" si="27"/>
        <v>"HOLD"</v>
      </c>
      <c r="AD49" t="str">
        <f t="shared" si="28"/>
        <v>"PROG"</v>
      </c>
      <c r="AE49" t="str">
        <f t="shared" si="29"/>
        <v>"EXEC"</v>
      </c>
      <c r="AF49" t="str">
        <f t="shared" si="30"/>
        <v/>
      </c>
      <c r="AH49" t="str">
        <f t="shared" si="31"/>
        <v>"MENU","LEGS","DEP ARR","HOLD","PROG","EXEC"</v>
      </c>
    </row>
    <row r="50" spans="1:34" x14ac:dyDescent="0.25">
      <c r="A50">
        <v>5</v>
      </c>
      <c r="B50">
        <v>4</v>
      </c>
      <c r="D50" t="str">
        <f t="shared" si="32"/>
        <v>LSK5L</v>
      </c>
      <c r="E50">
        <f t="shared" si="33"/>
        <v>1010</v>
      </c>
      <c r="F50" t="str">
        <f t="shared" si="34"/>
        <v>F5</v>
      </c>
      <c r="G50">
        <f t="shared" si="35"/>
        <v>63</v>
      </c>
      <c r="K50" t="str">
        <f t="shared" si="21"/>
        <v>"N1"</v>
      </c>
      <c r="L50" t="str">
        <f t="shared" si="18"/>
        <v>"FIX"</v>
      </c>
      <c r="M50" t="str">
        <f t="shared" si="18"/>
        <v>" "</v>
      </c>
      <c r="N50" t="str">
        <f t="shared" si="18"/>
        <v>"A"</v>
      </c>
      <c r="O50" t="str">
        <f t="shared" si="18"/>
        <v>"B"</v>
      </c>
      <c r="P50" t="str">
        <f t="shared" si="18"/>
        <v>"C"</v>
      </c>
      <c r="Q50" t="str">
        <f t="shared" si="18"/>
        <v>"D"</v>
      </c>
      <c r="R50" t="str">
        <f t="shared" si="18"/>
        <v>"E"</v>
      </c>
      <c r="T50" t="str">
        <f t="shared" si="22"/>
        <v>"N1","FIX"," ","A","B","C","D","E",</v>
      </c>
      <c r="Y50" t="str">
        <f t="shared" si="23"/>
        <v>"N1"</v>
      </c>
      <c r="Z50" t="str">
        <f t="shared" si="24"/>
        <v>"FIX"</v>
      </c>
      <c r="AA50" t="str">
        <f t="shared" si="25"/>
        <v/>
      </c>
      <c r="AB50" t="str">
        <f t="shared" si="26"/>
        <v>"A"</v>
      </c>
      <c r="AC50" t="str">
        <f t="shared" si="27"/>
        <v>"B"</v>
      </c>
      <c r="AD50" t="str">
        <f t="shared" si="28"/>
        <v>"C"</v>
      </c>
      <c r="AE50" t="str">
        <f t="shared" si="29"/>
        <v>"D"</v>
      </c>
      <c r="AF50" t="str">
        <f t="shared" si="30"/>
        <v>"E"</v>
      </c>
      <c r="AH50" t="str">
        <f t="shared" si="31"/>
        <v>"N1","FIX","A","B","C","D","E"</v>
      </c>
    </row>
    <row r="51" spans="1:34" x14ac:dyDescent="0.25">
      <c r="A51">
        <v>6</v>
      </c>
      <c r="B51">
        <v>5</v>
      </c>
      <c r="D51" t="str">
        <f t="shared" si="32"/>
        <v>LSK6L</v>
      </c>
      <c r="E51">
        <f t="shared" si="33"/>
        <v>1000</v>
      </c>
      <c r="F51" t="str">
        <f t="shared" si="34"/>
        <v>F6</v>
      </c>
      <c r="G51">
        <f t="shared" si="35"/>
        <v>64</v>
      </c>
      <c r="K51" t="str">
        <f t="shared" si="21"/>
        <v>"PREV"</v>
      </c>
      <c r="L51" t="str">
        <f t="shared" si="18"/>
        <v>"NEXT"</v>
      </c>
      <c r="M51" t="str">
        <f t="shared" si="18"/>
        <v>" "</v>
      </c>
      <c r="N51" t="str">
        <f t="shared" si="18"/>
        <v>"F"</v>
      </c>
      <c r="O51" t="str">
        <f t="shared" si="18"/>
        <v>"G"</v>
      </c>
      <c r="P51" t="str">
        <f t="shared" si="18"/>
        <v>"H"</v>
      </c>
      <c r="Q51" t="str">
        <f t="shared" si="18"/>
        <v>"I"</v>
      </c>
      <c r="R51" t="str">
        <f t="shared" si="18"/>
        <v>"J"</v>
      </c>
      <c r="T51" t="str">
        <f t="shared" si="22"/>
        <v>"PREV","NEXT"," ","F","G","H","I","J",</v>
      </c>
      <c r="Y51" t="str">
        <f t="shared" si="23"/>
        <v>"PREV"</v>
      </c>
      <c r="Z51" t="str">
        <f t="shared" si="24"/>
        <v>"NEXT"</v>
      </c>
      <c r="AA51" t="str">
        <f t="shared" si="25"/>
        <v/>
      </c>
      <c r="AB51" t="str">
        <f t="shared" si="26"/>
        <v>"F"</v>
      </c>
      <c r="AC51" t="str">
        <f t="shared" si="27"/>
        <v>"G"</v>
      </c>
      <c r="AD51" t="str">
        <f t="shared" si="28"/>
        <v>"H"</v>
      </c>
      <c r="AE51" t="str">
        <f t="shared" si="29"/>
        <v>"I"</v>
      </c>
      <c r="AF51" t="str">
        <f t="shared" si="30"/>
        <v>"J"</v>
      </c>
      <c r="AH51" t="str">
        <f t="shared" si="31"/>
        <v>"PREV","NEXT","F","G","H","I","J"</v>
      </c>
    </row>
    <row r="52" spans="1:34" x14ac:dyDescent="0.25">
      <c r="A52">
        <v>7</v>
      </c>
      <c r="B52">
        <v>6</v>
      </c>
      <c r="D52" t="str">
        <f t="shared" si="32"/>
        <v>INIT REF</v>
      </c>
      <c r="E52">
        <f t="shared" si="33"/>
        <v>1030</v>
      </c>
      <c r="F52" t="str">
        <f t="shared" si="34"/>
        <v>Ins</v>
      </c>
      <c r="G52">
        <f t="shared" si="35"/>
        <v>82</v>
      </c>
      <c r="K52" t="str">
        <f t="shared" si="21"/>
        <v>"1"</v>
      </c>
      <c r="L52" t="str">
        <f t="shared" si="18"/>
        <v>"2"</v>
      </c>
      <c r="M52" t="str">
        <f t="shared" si="18"/>
        <v>"3"</v>
      </c>
      <c r="N52" t="str">
        <f t="shared" si="18"/>
        <v>"K"</v>
      </c>
      <c r="O52" t="str">
        <f t="shared" si="18"/>
        <v>"L"</v>
      </c>
      <c r="P52" t="str">
        <f t="shared" si="18"/>
        <v>"M"</v>
      </c>
      <c r="Q52" t="str">
        <f t="shared" si="18"/>
        <v>"N"</v>
      </c>
      <c r="R52" t="str">
        <f t="shared" si="18"/>
        <v>"O"</v>
      </c>
      <c r="T52" t="str">
        <f t="shared" si="22"/>
        <v>"1","2","3","K","L","M","N","O",</v>
      </c>
      <c r="Y52" t="str">
        <f t="shared" si="23"/>
        <v>"1"</v>
      </c>
      <c r="Z52" t="str">
        <f t="shared" si="24"/>
        <v>"2"</v>
      </c>
      <c r="AA52" t="str">
        <f t="shared" si="25"/>
        <v>"3"</v>
      </c>
      <c r="AB52" t="str">
        <f t="shared" si="26"/>
        <v>"K"</v>
      </c>
      <c r="AC52" t="str">
        <f t="shared" si="27"/>
        <v>"L"</v>
      </c>
      <c r="AD52" t="str">
        <f t="shared" si="28"/>
        <v>"M"</v>
      </c>
      <c r="AE52" t="str">
        <f t="shared" si="29"/>
        <v>"N"</v>
      </c>
      <c r="AF52" t="str">
        <f t="shared" si="30"/>
        <v>"O"</v>
      </c>
      <c r="AH52" t="str">
        <f t="shared" si="31"/>
        <v>"1","2","3","K","L","M","N","O"</v>
      </c>
    </row>
    <row r="53" spans="1:34" x14ac:dyDescent="0.25">
      <c r="A53">
        <v>8</v>
      </c>
      <c r="B53">
        <v>7</v>
      </c>
      <c r="D53" t="str">
        <f t="shared" si="32"/>
        <v>MENU</v>
      </c>
      <c r="E53">
        <f t="shared" si="33"/>
        <v>1040</v>
      </c>
      <c r="F53" t="str">
        <f t="shared" si="34"/>
        <v>Home (7)</v>
      </c>
      <c r="G53">
        <f t="shared" si="35"/>
        <v>71</v>
      </c>
      <c r="K53" t="str">
        <f t="shared" si="21"/>
        <v>"4"</v>
      </c>
      <c r="L53" t="str">
        <f t="shared" si="18"/>
        <v>"5"</v>
      </c>
      <c r="M53" t="str">
        <f t="shared" si="18"/>
        <v>"6"</v>
      </c>
      <c r="N53" t="str">
        <f t="shared" si="18"/>
        <v>"P"</v>
      </c>
      <c r="O53" t="str">
        <f t="shared" si="18"/>
        <v>"Q"</v>
      </c>
      <c r="P53" t="str">
        <f t="shared" si="18"/>
        <v>"R"</v>
      </c>
      <c r="Q53" t="str">
        <f t="shared" si="18"/>
        <v>"S"</v>
      </c>
      <c r="R53" t="str">
        <f t="shared" si="18"/>
        <v>"T"</v>
      </c>
      <c r="T53" t="str">
        <f t="shared" si="22"/>
        <v>"4","5","6","P","Q","R","S","T",</v>
      </c>
      <c r="Y53" t="str">
        <f t="shared" si="23"/>
        <v>"4"</v>
      </c>
      <c r="Z53" t="str">
        <f t="shared" si="24"/>
        <v>"5"</v>
      </c>
      <c r="AA53" t="str">
        <f t="shared" si="25"/>
        <v>"6"</v>
      </c>
      <c r="AB53" t="str">
        <f t="shared" si="26"/>
        <v>"P"</v>
      </c>
      <c r="AC53" t="str">
        <f t="shared" si="27"/>
        <v>"Q"</v>
      </c>
      <c r="AD53" t="str">
        <f t="shared" si="28"/>
        <v>"R"</v>
      </c>
      <c r="AE53" t="str">
        <f t="shared" si="29"/>
        <v>"S"</v>
      </c>
      <c r="AF53" t="str">
        <f t="shared" si="30"/>
        <v>"T"</v>
      </c>
      <c r="AH53" t="str">
        <f t="shared" si="31"/>
        <v>"4","5","6","P","Q","R","S","T"</v>
      </c>
    </row>
    <row r="54" spans="1:34" x14ac:dyDescent="0.25">
      <c r="A54">
        <v>9</v>
      </c>
      <c r="B54">
        <v>8</v>
      </c>
      <c r="D54" t="str">
        <f t="shared" si="32"/>
        <v>N1</v>
      </c>
      <c r="E54">
        <f t="shared" si="33"/>
        <v>1050</v>
      </c>
      <c r="F54" t="str">
        <f t="shared" si="34"/>
        <v>`</v>
      </c>
      <c r="G54">
        <f t="shared" si="35"/>
        <v>41</v>
      </c>
      <c r="K54" t="str">
        <f t="shared" si="21"/>
        <v>"7"</v>
      </c>
      <c r="L54" t="str">
        <f t="shared" si="18"/>
        <v>"8"</v>
      </c>
      <c r="M54" t="str">
        <f t="shared" si="18"/>
        <v>"9"</v>
      </c>
      <c r="N54" t="str">
        <f t="shared" si="18"/>
        <v>"U"</v>
      </c>
      <c r="O54" t="str">
        <f t="shared" si="18"/>
        <v>"V"</v>
      </c>
      <c r="P54" t="str">
        <f t="shared" si="18"/>
        <v>"W"</v>
      </c>
      <c r="Q54" t="str">
        <f t="shared" si="18"/>
        <v>"X"</v>
      </c>
      <c r="R54" t="str">
        <f t="shared" si="18"/>
        <v>"Y"</v>
      </c>
      <c r="T54" t="str">
        <f t="shared" si="22"/>
        <v>"7","8","9","U","V","W","X","Y",</v>
      </c>
      <c r="Y54" t="str">
        <f t="shared" si="23"/>
        <v>"7"</v>
      </c>
      <c r="Z54" t="str">
        <f t="shared" si="24"/>
        <v>"8"</v>
      </c>
      <c r="AA54" t="str">
        <f t="shared" si="25"/>
        <v>"9"</v>
      </c>
      <c r="AB54" t="str">
        <f t="shared" si="26"/>
        <v>"U"</v>
      </c>
      <c r="AC54" t="str">
        <f t="shared" si="27"/>
        <v>"V"</v>
      </c>
      <c r="AD54" t="str">
        <f t="shared" si="28"/>
        <v>"W"</v>
      </c>
      <c r="AE54" t="str">
        <f t="shared" si="29"/>
        <v>"X"</v>
      </c>
      <c r="AF54" t="str">
        <f t="shared" si="30"/>
        <v>"Y"</v>
      </c>
      <c r="AH54" t="str">
        <f t="shared" si="31"/>
        <v>"7","8","9","U","V","W","X","Y"</v>
      </c>
    </row>
    <row r="55" spans="1:34" x14ac:dyDescent="0.25">
      <c r="A55">
        <v>10</v>
      </c>
      <c r="B55">
        <v>9</v>
      </c>
      <c r="D55" t="str">
        <f t="shared" si="32"/>
        <v>PREV</v>
      </c>
      <c r="E55">
        <f t="shared" si="33"/>
        <v>1060</v>
      </c>
      <c r="F55" t="str">
        <f t="shared" si="34"/>
        <v>PgUp (9)</v>
      </c>
      <c r="G55">
        <f t="shared" si="35"/>
        <v>73</v>
      </c>
      <c r="K55" t="str">
        <f t="shared" si="21"/>
        <v>"."</v>
      </c>
      <c r="L55" t="str">
        <f t="shared" si="18"/>
        <v>"0"</v>
      </c>
      <c r="M55" t="str">
        <f t="shared" si="18"/>
        <v>"-"</v>
      </c>
      <c r="N55" t="str">
        <f t="shared" si="18"/>
        <v>"Z"</v>
      </c>
      <c r="O55" t="str">
        <f t="shared" si="18"/>
        <v>"SP"</v>
      </c>
      <c r="P55" t="str">
        <f t="shared" si="18"/>
        <v>"DEL"</v>
      </c>
      <c r="Q55" t="str">
        <f t="shared" si="18"/>
        <v>"/"</v>
      </c>
      <c r="R55" t="str">
        <f t="shared" si="18"/>
        <v>"CLR"</v>
      </c>
      <c r="T55" t="str">
        <f t="shared" si="22"/>
        <v>".","0","-","Z","SP","DEL","/","CLR",</v>
      </c>
      <c r="Y55" t="str">
        <f t="shared" si="23"/>
        <v>"."</v>
      </c>
      <c r="Z55" t="str">
        <f t="shared" si="24"/>
        <v>"0"</v>
      </c>
      <c r="AA55" t="str">
        <f t="shared" si="25"/>
        <v>"-"</v>
      </c>
      <c r="AB55" t="str">
        <f t="shared" si="26"/>
        <v>"Z"</v>
      </c>
      <c r="AC55" t="str">
        <f t="shared" si="27"/>
        <v>"SP"</v>
      </c>
      <c r="AD55" t="str">
        <f t="shared" si="28"/>
        <v>"DEL"</v>
      </c>
      <c r="AE55" t="str">
        <f t="shared" si="29"/>
        <v>"/"</v>
      </c>
      <c r="AF55" t="str">
        <f t="shared" si="30"/>
        <v>"CLR"</v>
      </c>
      <c r="AH55" t="str">
        <f t="shared" si="31"/>
        <v>".","0","-","Z","SP","DEL","/","CLR"</v>
      </c>
    </row>
    <row r="56" spans="1:34" x14ac:dyDescent="0.25">
      <c r="A56">
        <v>11</v>
      </c>
      <c r="B56">
        <v>0</v>
      </c>
      <c r="D56">
        <f>A12</f>
        <v>1</v>
      </c>
      <c r="E56">
        <f t="shared" si="33"/>
        <v>1070</v>
      </c>
      <c r="F56">
        <f t="shared" si="34"/>
        <v>1</v>
      </c>
      <c r="G56">
        <f t="shared" si="35"/>
        <v>2</v>
      </c>
    </row>
    <row r="57" spans="1:34" x14ac:dyDescent="0.25">
      <c r="A57">
        <v>12</v>
      </c>
      <c r="B57" t="s">
        <v>62</v>
      </c>
      <c r="D57">
        <f t="shared" ref="D57:D58" si="36">A13</f>
        <v>4</v>
      </c>
      <c r="E57">
        <f t="shared" ref="E57:E61" si="37">B13</f>
        <v>1080</v>
      </c>
      <c r="F57">
        <f t="shared" ref="F57:F61" si="38">C13</f>
        <v>4</v>
      </c>
      <c r="G57">
        <f t="shared" ref="G57:G61" si="39">D13</f>
        <v>5</v>
      </c>
    </row>
    <row r="58" spans="1:34" x14ac:dyDescent="0.25">
      <c r="A58">
        <v>13</v>
      </c>
      <c r="B58" t="s">
        <v>63</v>
      </c>
      <c r="D58">
        <f t="shared" si="36"/>
        <v>7</v>
      </c>
      <c r="E58">
        <f t="shared" si="37"/>
        <v>1090</v>
      </c>
      <c r="F58">
        <f t="shared" si="38"/>
        <v>7</v>
      </c>
      <c r="G58">
        <f t="shared" si="39"/>
        <v>8</v>
      </c>
    </row>
    <row r="59" spans="1:34" x14ac:dyDescent="0.25">
      <c r="A59">
        <v>14</v>
      </c>
      <c r="B59" t="s">
        <v>64</v>
      </c>
      <c r="D59" t="str">
        <f>A15</f>
        <v>.</v>
      </c>
      <c r="E59">
        <f t="shared" si="37"/>
        <v>1100</v>
      </c>
      <c r="F59" t="str">
        <f t="shared" si="38"/>
        <v>.</v>
      </c>
      <c r="G59">
        <f t="shared" si="39"/>
        <v>52</v>
      </c>
    </row>
    <row r="60" spans="1:34" x14ac:dyDescent="0.25">
      <c r="A60">
        <v>15</v>
      </c>
      <c r="B60" t="s">
        <v>65</v>
      </c>
      <c r="D60" t="str" cm="1">
        <f t="array" ref="D60:G67">E8:H15</f>
        <v>RTE</v>
      </c>
      <c r="E60">
        <v>1031</v>
      </c>
      <c r="F60" t="str">
        <v>,</v>
      </c>
      <c r="G60">
        <v>51</v>
      </c>
    </row>
    <row r="61" spans="1:34" x14ac:dyDescent="0.25">
      <c r="A61">
        <v>16</v>
      </c>
      <c r="B61" t="s">
        <v>37</v>
      </c>
      <c r="D61" t="str">
        <v>LEGS</v>
      </c>
      <c r="E61">
        <v>1041</v>
      </c>
      <c r="F61" t="str">
        <v>+</v>
      </c>
      <c r="G61">
        <v>78</v>
      </c>
    </row>
    <row r="62" spans="1:34" x14ac:dyDescent="0.25">
      <c r="A62">
        <v>17</v>
      </c>
      <c r="B62" t="s">
        <v>46</v>
      </c>
      <c r="D62" t="str">
        <v>FIX</v>
      </c>
      <c r="E62">
        <v>1051</v>
      </c>
      <c r="F62" t="str">
        <v>;</v>
      </c>
      <c r="G62">
        <v>39</v>
      </c>
    </row>
    <row r="63" spans="1:34" x14ac:dyDescent="0.25">
      <c r="A63">
        <v>18</v>
      </c>
      <c r="B63" t="s">
        <v>55</v>
      </c>
      <c r="D63" t="str">
        <v>NEXT</v>
      </c>
      <c r="E63">
        <v>1061</v>
      </c>
      <c r="F63" t="str">
        <v>PgDn (3)</v>
      </c>
      <c r="G63">
        <v>81</v>
      </c>
    </row>
    <row r="64" spans="1:34" x14ac:dyDescent="0.25">
      <c r="A64">
        <v>19</v>
      </c>
      <c r="B64" t="s">
        <v>45</v>
      </c>
      <c r="D64">
        <v>2</v>
      </c>
      <c r="E64">
        <v>1071</v>
      </c>
      <c r="F64">
        <v>2</v>
      </c>
      <c r="G64">
        <v>3</v>
      </c>
    </row>
    <row r="65" spans="1:7" x14ac:dyDescent="0.25">
      <c r="A65">
        <v>20</v>
      </c>
      <c r="B65" t="s">
        <v>13</v>
      </c>
      <c r="D65">
        <v>5</v>
      </c>
      <c r="E65">
        <v>1081</v>
      </c>
      <c r="F65">
        <v>5</v>
      </c>
      <c r="G65">
        <v>6</v>
      </c>
    </row>
    <row r="66" spans="1:7" x14ac:dyDescent="0.25">
      <c r="A66">
        <v>21</v>
      </c>
      <c r="B66" t="s">
        <v>58</v>
      </c>
      <c r="D66">
        <v>8</v>
      </c>
      <c r="E66">
        <v>1091</v>
      </c>
      <c r="F66">
        <v>8</v>
      </c>
      <c r="G66">
        <v>9</v>
      </c>
    </row>
    <row r="67" spans="1:7" x14ac:dyDescent="0.25">
      <c r="A67">
        <v>22</v>
      </c>
      <c r="B67" t="s">
        <v>30</v>
      </c>
      <c r="D67">
        <v>0</v>
      </c>
      <c r="E67">
        <v>1101</v>
      </c>
      <c r="F67">
        <v>0</v>
      </c>
      <c r="G67">
        <v>11</v>
      </c>
    </row>
    <row r="68" spans="1:7" x14ac:dyDescent="0.25">
      <c r="A68">
        <v>23</v>
      </c>
      <c r="B68" t="s">
        <v>50</v>
      </c>
      <c r="D68" cm="1">
        <f t="array" ref="D68:G71">I12:L15</f>
        <v>3</v>
      </c>
      <c r="E68">
        <v>1072</v>
      </c>
      <c r="F68">
        <v>3</v>
      </c>
      <c r="G68">
        <v>4</v>
      </c>
    </row>
    <row r="69" spans="1:7" x14ac:dyDescent="0.25">
      <c r="A69">
        <v>24</v>
      </c>
      <c r="B69" t="s">
        <v>57</v>
      </c>
      <c r="D69">
        <v>6</v>
      </c>
      <c r="E69">
        <v>1082</v>
      </c>
      <c r="F69">
        <v>6</v>
      </c>
      <c r="G69">
        <v>7</v>
      </c>
    </row>
    <row r="70" spans="1:7" x14ac:dyDescent="0.25">
      <c r="A70">
        <v>25</v>
      </c>
      <c r="B70" t="s">
        <v>29</v>
      </c>
      <c r="D70">
        <v>9</v>
      </c>
      <c r="E70">
        <v>1092</v>
      </c>
      <c r="F70">
        <v>9</v>
      </c>
      <c r="G70">
        <v>10</v>
      </c>
    </row>
    <row r="71" spans="1:7" x14ac:dyDescent="0.25">
      <c r="A71">
        <v>26</v>
      </c>
      <c r="B71" t="s">
        <v>66</v>
      </c>
      <c r="D71" t="str">
        <v>-</v>
      </c>
      <c r="E71">
        <v>1102</v>
      </c>
      <c r="F71" t="str">
        <v>-</v>
      </c>
      <c r="G71">
        <v>12</v>
      </c>
    </row>
    <row r="72" spans="1:7" x14ac:dyDescent="0.25">
      <c r="A72">
        <v>27</v>
      </c>
      <c r="B72" t="s">
        <v>67</v>
      </c>
      <c r="D72" t="str" cm="1">
        <f t="array" ref="D72:G79">M8:P15</f>
        <v>CLB</v>
      </c>
      <c r="E72">
        <v>1033</v>
      </c>
      <c r="F72" t="str">
        <v>[</v>
      </c>
      <c r="G72">
        <v>26</v>
      </c>
    </row>
    <row r="73" spans="1:7" x14ac:dyDescent="0.25">
      <c r="A73">
        <v>28</v>
      </c>
      <c r="B73" t="s">
        <v>68</v>
      </c>
      <c r="D73" t="str">
        <v>DEP ARR</v>
      </c>
      <c r="E73">
        <v>1043</v>
      </c>
      <c r="F73" t="str">
        <v>*</v>
      </c>
      <c r="G73">
        <v>55</v>
      </c>
    </row>
    <row r="74" spans="1:7" x14ac:dyDescent="0.25">
      <c r="A74">
        <v>29</v>
      </c>
      <c r="B74" t="s">
        <v>69</v>
      </c>
      <c r="D74" t="str">
        <v>A</v>
      </c>
      <c r="E74">
        <v>1053</v>
      </c>
      <c r="F74" t="str">
        <v>A</v>
      </c>
      <c r="G74">
        <v>30</v>
      </c>
    </row>
    <row r="75" spans="1:7" x14ac:dyDescent="0.25">
      <c r="A75">
        <v>30</v>
      </c>
      <c r="B75" t="s">
        <v>26</v>
      </c>
      <c r="D75" t="str">
        <v>F</v>
      </c>
      <c r="E75">
        <v>1063</v>
      </c>
      <c r="F75" t="str">
        <v>F</v>
      </c>
      <c r="G75">
        <v>33</v>
      </c>
    </row>
    <row r="76" spans="1:7" x14ac:dyDescent="0.25">
      <c r="A76">
        <v>31</v>
      </c>
      <c r="B76" t="s">
        <v>52</v>
      </c>
      <c r="D76" t="str">
        <v>K</v>
      </c>
      <c r="E76">
        <v>1073</v>
      </c>
      <c r="F76" t="str">
        <v>K</v>
      </c>
      <c r="G76">
        <v>37</v>
      </c>
    </row>
    <row r="77" spans="1:7" x14ac:dyDescent="0.25">
      <c r="A77">
        <v>32</v>
      </c>
      <c r="B77" t="s">
        <v>49</v>
      </c>
      <c r="D77" t="str">
        <v>P</v>
      </c>
      <c r="E77">
        <v>1083</v>
      </c>
      <c r="F77" t="str">
        <v>P</v>
      </c>
      <c r="G77">
        <v>25</v>
      </c>
    </row>
    <row r="78" spans="1:7" x14ac:dyDescent="0.25">
      <c r="A78">
        <v>33</v>
      </c>
      <c r="B78" t="s">
        <v>27</v>
      </c>
      <c r="D78" t="str">
        <v>U</v>
      </c>
      <c r="E78">
        <v>1093</v>
      </c>
      <c r="F78" t="str">
        <v>U</v>
      </c>
      <c r="G78">
        <v>22</v>
      </c>
    </row>
    <row r="79" spans="1:7" x14ac:dyDescent="0.25">
      <c r="A79">
        <v>34</v>
      </c>
      <c r="B79" t="s">
        <v>35</v>
      </c>
      <c r="D79" t="str">
        <v>Z</v>
      </c>
      <c r="E79">
        <v>1103</v>
      </c>
      <c r="F79" t="str">
        <v>Z</v>
      </c>
      <c r="G79">
        <v>44</v>
      </c>
    </row>
    <row r="80" spans="1:7" x14ac:dyDescent="0.25">
      <c r="A80">
        <v>35</v>
      </c>
      <c r="B80" t="s">
        <v>43</v>
      </c>
      <c r="D80" t="str" cm="1">
        <f t="array" ref="D80:G87">Q8:T15</f>
        <v>CRZ</v>
      </c>
      <c r="E80">
        <v>1034</v>
      </c>
      <c r="F80" t="str">
        <v>'</v>
      </c>
      <c r="G80">
        <v>40</v>
      </c>
    </row>
    <row r="81" spans="1:7" x14ac:dyDescent="0.25">
      <c r="A81">
        <v>36</v>
      </c>
      <c r="B81" t="s">
        <v>56</v>
      </c>
      <c r="D81" t="str">
        <v>HOLD</v>
      </c>
      <c r="E81">
        <v>1044</v>
      </c>
      <c r="F81" t="str">
        <v>\</v>
      </c>
      <c r="G81">
        <v>43</v>
      </c>
    </row>
    <row r="82" spans="1:7" x14ac:dyDescent="0.25">
      <c r="A82">
        <v>37</v>
      </c>
      <c r="B82" t="s">
        <v>28</v>
      </c>
      <c r="D82" t="str">
        <v>B</v>
      </c>
      <c r="E82">
        <v>1054</v>
      </c>
      <c r="F82" t="str">
        <v>B</v>
      </c>
      <c r="G82">
        <v>48</v>
      </c>
    </row>
    <row r="83" spans="1:7" x14ac:dyDescent="0.25">
      <c r="A83">
        <v>38</v>
      </c>
      <c r="B83" t="s">
        <v>36</v>
      </c>
      <c r="D83" t="str">
        <v>G</v>
      </c>
      <c r="E83">
        <v>1064</v>
      </c>
      <c r="F83" t="str">
        <v>G</v>
      </c>
      <c r="G83">
        <v>34</v>
      </c>
    </row>
    <row r="84" spans="1:7" x14ac:dyDescent="0.25">
      <c r="A84">
        <v>39</v>
      </c>
      <c r="B84" t="s">
        <v>70</v>
      </c>
      <c r="D84" t="str">
        <v>L</v>
      </c>
      <c r="E84">
        <v>1074</v>
      </c>
      <c r="F84" t="str">
        <v>L</v>
      </c>
      <c r="G84">
        <v>38</v>
      </c>
    </row>
    <row r="85" spans="1:7" x14ac:dyDescent="0.25">
      <c r="A85">
        <v>40</v>
      </c>
      <c r="B85" t="s">
        <v>71</v>
      </c>
      <c r="D85" t="str">
        <v>Q</v>
      </c>
      <c r="E85">
        <v>1084</v>
      </c>
      <c r="F85" t="str">
        <v>Q</v>
      </c>
      <c r="G85">
        <v>16</v>
      </c>
    </row>
    <row r="86" spans="1:7" x14ac:dyDescent="0.25">
      <c r="A86">
        <v>41</v>
      </c>
      <c r="B86" t="s">
        <v>72</v>
      </c>
      <c r="D86" t="str">
        <v>V</v>
      </c>
      <c r="E86">
        <v>1094</v>
      </c>
      <c r="F86" t="str">
        <v>V</v>
      </c>
      <c r="G86">
        <v>47</v>
      </c>
    </row>
    <row r="87" spans="1:7" x14ac:dyDescent="0.25">
      <c r="A87">
        <v>42</v>
      </c>
      <c r="B87" t="s">
        <v>73</v>
      </c>
      <c r="D87" t="str">
        <v>SP</v>
      </c>
      <c r="E87">
        <v>1104</v>
      </c>
      <c r="F87" t="str">
        <v>Space</v>
      </c>
      <c r="G87">
        <v>57</v>
      </c>
    </row>
    <row r="88" spans="1:7" x14ac:dyDescent="0.25">
      <c r="A88">
        <v>43</v>
      </c>
      <c r="B88" t="s">
        <v>74</v>
      </c>
      <c r="D88" t="str" cm="1">
        <f t="array" ref="D88:G95">U8:X15</f>
        <v>DES</v>
      </c>
      <c r="E88">
        <v>1035</v>
      </c>
      <c r="F88" t="str">
        <v>]</v>
      </c>
      <c r="G88">
        <v>27</v>
      </c>
    </row>
    <row r="89" spans="1:7" x14ac:dyDescent="0.25">
      <c r="A89">
        <v>44</v>
      </c>
      <c r="B89" t="s">
        <v>31</v>
      </c>
      <c r="D89" t="str">
        <v>PROG</v>
      </c>
      <c r="E89">
        <v>1045</v>
      </c>
      <c r="F89" t="str">
        <v>End (1)</v>
      </c>
      <c r="G89">
        <v>79</v>
      </c>
    </row>
    <row r="90" spans="1:7" x14ac:dyDescent="0.25">
      <c r="A90">
        <v>45</v>
      </c>
      <c r="B90" t="s">
        <v>53</v>
      </c>
      <c r="D90" t="str">
        <v>C</v>
      </c>
      <c r="E90">
        <v>1055</v>
      </c>
      <c r="F90" t="str">
        <v>C</v>
      </c>
      <c r="G90">
        <v>46</v>
      </c>
    </row>
    <row r="91" spans="1:7" x14ac:dyDescent="0.25">
      <c r="A91">
        <v>46</v>
      </c>
      <c r="B91" t="s">
        <v>42</v>
      </c>
      <c r="D91" t="str">
        <v>H</v>
      </c>
      <c r="E91">
        <v>1065</v>
      </c>
      <c r="F91" t="str">
        <v>H</v>
      </c>
      <c r="G91">
        <v>35</v>
      </c>
    </row>
    <row r="92" spans="1:7" x14ac:dyDescent="0.25">
      <c r="A92">
        <v>47</v>
      </c>
      <c r="B92" t="s">
        <v>38</v>
      </c>
      <c r="D92" t="str">
        <v>M</v>
      </c>
      <c r="E92">
        <v>1075</v>
      </c>
      <c r="F92" t="str">
        <v>M</v>
      </c>
      <c r="G92">
        <v>50</v>
      </c>
    </row>
    <row r="93" spans="1:7" x14ac:dyDescent="0.25">
      <c r="A93">
        <v>48</v>
      </c>
      <c r="B93" t="s">
        <v>34</v>
      </c>
      <c r="D93" t="str">
        <v>R</v>
      </c>
      <c r="E93">
        <v>1085</v>
      </c>
      <c r="F93" t="str">
        <v>R</v>
      </c>
      <c r="G93">
        <v>19</v>
      </c>
    </row>
    <row r="94" spans="1:7" x14ac:dyDescent="0.25">
      <c r="A94">
        <v>49</v>
      </c>
      <c r="B94" t="s">
        <v>51</v>
      </c>
      <c r="D94" t="str">
        <v>W</v>
      </c>
      <c r="E94">
        <v>1095</v>
      </c>
      <c r="F94" t="str">
        <v>W</v>
      </c>
      <c r="G94">
        <v>17</v>
      </c>
    </row>
    <row r="95" spans="1:7" x14ac:dyDescent="0.25">
      <c r="A95">
        <v>50</v>
      </c>
      <c r="B95" t="s">
        <v>44</v>
      </c>
      <c r="D95" t="str">
        <v>DEL</v>
      </c>
      <c r="E95">
        <v>1105</v>
      </c>
      <c r="F95" t="str">
        <v>Del</v>
      </c>
      <c r="G95">
        <v>83</v>
      </c>
    </row>
    <row r="96" spans="1:7" x14ac:dyDescent="0.25">
      <c r="A96">
        <v>51</v>
      </c>
      <c r="B96" t="s">
        <v>75</v>
      </c>
      <c r="D96" t="str" cm="1">
        <f t="array" ref="D96:G102">Y9:AB15</f>
        <v>EXEC</v>
      </c>
      <c r="E96">
        <v>1046</v>
      </c>
      <c r="F96" t="str">
        <v>Enter</v>
      </c>
      <c r="G96">
        <v>28</v>
      </c>
    </row>
    <row r="97" spans="1:7" x14ac:dyDescent="0.25">
      <c r="A97">
        <v>52</v>
      </c>
      <c r="B97" t="s">
        <v>17</v>
      </c>
      <c r="D97" t="str">
        <v>D</v>
      </c>
      <c r="E97">
        <v>1056</v>
      </c>
      <c r="F97" t="str">
        <v>D</v>
      </c>
      <c r="G97">
        <v>32</v>
      </c>
    </row>
    <row r="98" spans="1:7" x14ac:dyDescent="0.25">
      <c r="A98">
        <v>53</v>
      </c>
      <c r="B98" t="s">
        <v>54</v>
      </c>
      <c r="D98" t="str">
        <v>I</v>
      </c>
      <c r="E98">
        <v>1066</v>
      </c>
      <c r="F98" t="str">
        <v>I</v>
      </c>
      <c r="G98">
        <v>23</v>
      </c>
    </row>
    <row r="99" spans="1:7" x14ac:dyDescent="0.25">
      <c r="A99">
        <v>54</v>
      </c>
      <c r="B99" t="s">
        <v>76</v>
      </c>
      <c r="D99" t="str">
        <v>N</v>
      </c>
      <c r="E99">
        <v>1076</v>
      </c>
      <c r="F99" t="str">
        <v>N</v>
      </c>
      <c r="G99">
        <v>49</v>
      </c>
    </row>
    <row r="100" spans="1:7" x14ac:dyDescent="0.25">
      <c r="A100">
        <v>55</v>
      </c>
      <c r="B100" t="s">
        <v>77</v>
      </c>
      <c r="D100" t="str">
        <v>S</v>
      </c>
      <c r="E100">
        <v>1086</v>
      </c>
      <c r="F100" t="str">
        <v>S</v>
      </c>
      <c r="G100">
        <v>31</v>
      </c>
    </row>
    <row r="101" spans="1:7" x14ac:dyDescent="0.25">
      <c r="A101">
        <v>56</v>
      </c>
      <c r="B101" t="s">
        <v>78</v>
      </c>
      <c r="D101" t="str">
        <v>X</v>
      </c>
      <c r="E101">
        <v>1096</v>
      </c>
      <c r="F101" t="str">
        <v>X</v>
      </c>
      <c r="G101">
        <v>45</v>
      </c>
    </row>
    <row r="102" spans="1:7" x14ac:dyDescent="0.25">
      <c r="A102">
        <v>57</v>
      </c>
      <c r="B102" t="s">
        <v>79</v>
      </c>
      <c r="D102" t="str">
        <v>/</v>
      </c>
      <c r="E102">
        <v>1106</v>
      </c>
      <c r="F102" t="str">
        <v>/</v>
      </c>
      <c r="G102">
        <v>53</v>
      </c>
    </row>
    <row r="103" spans="1:7" x14ac:dyDescent="0.25">
      <c r="A103">
        <v>58</v>
      </c>
      <c r="B103" t="s">
        <v>80</v>
      </c>
      <c r="D103" t="str" cm="1">
        <f t="array" ref="D103:G108">AC2:AF7</f>
        <v>LSK1R</v>
      </c>
      <c r="E103">
        <v>1006</v>
      </c>
      <c r="F103" t="str">
        <v>F7</v>
      </c>
      <c r="G103">
        <v>65</v>
      </c>
    </row>
    <row r="104" spans="1:7" x14ac:dyDescent="0.25">
      <c r="A104">
        <v>59</v>
      </c>
      <c r="B104" t="s">
        <v>81</v>
      </c>
      <c r="D104" t="str">
        <v>LSK2R</v>
      </c>
      <c r="E104">
        <v>1016</v>
      </c>
      <c r="F104" t="str">
        <v>F8</v>
      </c>
      <c r="G104">
        <v>66</v>
      </c>
    </row>
    <row r="105" spans="1:7" x14ac:dyDescent="0.25">
      <c r="A105">
        <v>60</v>
      </c>
      <c r="B105" t="s">
        <v>82</v>
      </c>
      <c r="D105" t="str">
        <v>LSK3R</v>
      </c>
      <c r="E105">
        <v>1026</v>
      </c>
      <c r="F105" t="str">
        <v>F9</v>
      </c>
      <c r="G105">
        <v>67</v>
      </c>
    </row>
    <row r="106" spans="1:7" x14ac:dyDescent="0.25">
      <c r="A106">
        <v>61</v>
      </c>
      <c r="B106" t="s">
        <v>83</v>
      </c>
      <c r="D106" t="str">
        <v>LSK4R</v>
      </c>
      <c r="E106">
        <v>1027</v>
      </c>
      <c r="F106" t="str">
        <v>F10</v>
      </c>
      <c r="G106">
        <v>68</v>
      </c>
    </row>
    <row r="107" spans="1:7" x14ac:dyDescent="0.25">
      <c r="A107">
        <v>62</v>
      </c>
      <c r="B107" t="s">
        <v>84</v>
      </c>
      <c r="D107" t="str">
        <v>LSK5R</v>
      </c>
      <c r="E107">
        <v>1017</v>
      </c>
      <c r="F107" t="str">
        <v>F11</v>
      </c>
      <c r="G107">
        <v>87</v>
      </c>
    </row>
    <row r="108" spans="1:7" x14ac:dyDescent="0.25">
      <c r="A108">
        <v>63</v>
      </c>
      <c r="B108" t="s">
        <v>85</v>
      </c>
      <c r="D108" t="str">
        <v>LSK6R</v>
      </c>
      <c r="E108">
        <v>1007</v>
      </c>
      <c r="F108" t="str">
        <v>F12</v>
      </c>
      <c r="G108">
        <v>88</v>
      </c>
    </row>
    <row r="109" spans="1:7" x14ac:dyDescent="0.25">
      <c r="A109">
        <v>64</v>
      </c>
      <c r="B109" t="s">
        <v>86</v>
      </c>
      <c r="D109" t="str" cm="1">
        <f t="array" ref="D109:G114">AC10:AF15</f>
        <v>E</v>
      </c>
      <c r="E109">
        <v>1057</v>
      </c>
      <c r="F109" t="str">
        <v>E</v>
      </c>
      <c r="G109">
        <v>18</v>
      </c>
    </row>
    <row r="110" spans="1:7" x14ac:dyDescent="0.25">
      <c r="A110">
        <v>65</v>
      </c>
      <c r="B110" t="s">
        <v>87</v>
      </c>
      <c r="D110" t="str">
        <v>J</v>
      </c>
      <c r="E110">
        <v>1067</v>
      </c>
      <c r="F110" t="str">
        <v>J</v>
      </c>
      <c r="G110">
        <v>36</v>
      </c>
    </row>
    <row r="111" spans="1:7" x14ac:dyDescent="0.25">
      <c r="A111">
        <v>66</v>
      </c>
      <c r="B111" t="s">
        <v>88</v>
      </c>
      <c r="D111" t="str">
        <v>O</v>
      </c>
      <c r="E111">
        <v>1077</v>
      </c>
      <c r="F111" t="str">
        <v>O</v>
      </c>
      <c r="G111">
        <v>24</v>
      </c>
    </row>
    <row r="112" spans="1:7" x14ac:dyDescent="0.25">
      <c r="A112">
        <v>67</v>
      </c>
      <c r="B112" t="s">
        <v>89</v>
      </c>
      <c r="D112" t="str">
        <v>T</v>
      </c>
      <c r="E112">
        <v>1087</v>
      </c>
      <c r="F112" t="str">
        <v>T</v>
      </c>
      <c r="G112">
        <v>20</v>
      </c>
    </row>
    <row r="113" spans="1:7" x14ac:dyDescent="0.25">
      <c r="A113">
        <v>68</v>
      </c>
      <c r="B113" t="s">
        <v>90</v>
      </c>
      <c r="D113" t="str">
        <v>Y</v>
      </c>
      <c r="E113">
        <v>1097</v>
      </c>
      <c r="F113" t="str">
        <v>Y</v>
      </c>
      <c r="G113">
        <v>21</v>
      </c>
    </row>
    <row r="114" spans="1:7" x14ac:dyDescent="0.25">
      <c r="A114">
        <v>69</v>
      </c>
      <c r="B114" t="s">
        <v>91</v>
      </c>
      <c r="D114" t="str">
        <v>CLR</v>
      </c>
      <c r="E114">
        <v>1107</v>
      </c>
      <c r="F114" t="str">
        <v>bs</v>
      </c>
      <c r="G114">
        <v>14</v>
      </c>
    </row>
    <row r="115" spans="1:7" x14ac:dyDescent="0.25">
      <c r="A115">
        <v>70</v>
      </c>
      <c r="B115" t="s">
        <v>92</v>
      </c>
    </row>
    <row r="116" spans="1:7" x14ac:dyDescent="0.25">
      <c r="A116">
        <v>71</v>
      </c>
      <c r="B116" t="s">
        <v>93</v>
      </c>
    </row>
    <row r="117" spans="1:7" x14ac:dyDescent="0.25">
      <c r="A117">
        <v>72</v>
      </c>
      <c r="B117" t="s">
        <v>94</v>
      </c>
    </row>
    <row r="118" spans="1:7" x14ac:dyDescent="0.25">
      <c r="A118">
        <v>73</v>
      </c>
      <c r="B118" t="s">
        <v>95</v>
      </c>
    </row>
    <row r="119" spans="1:7" x14ac:dyDescent="0.25">
      <c r="A119">
        <v>74</v>
      </c>
      <c r="B119" t="s">
        <v>62</v>
      </c>
    </row>
    <row r="120" spans="1:7" x14ac:dyDescent="0.25">
      <c r="A120">
        <v>75</v>
      </c>
      <c r="B120" t="s">
        <v>96</v>
      </c>
    </row>
    <row r="121" spans="1:7" x14ac:dyDescent="0.25">
      <c r="A121">
        <v>76</v>
      </c>
      <c r="B121" t="s">
        <v>97</v>
      </c>
    </row>
    <row r="122" spans="1:7" x14ac:dyDescent="0.25">
      <c r="A122">
        <v>77</v>
      </c>
      <c r="B122" t="s">
        <v>98</v>
      </c>
    </row>
    <row r="123" spans="1:7" x14ac:dyDescent="0.25">
      <c r="A123">
        <v>78</v>
      </c>
      <c r="B123" t="s">
        <v>99</v>
      </c>
    </row>
    <row r="124" spans="1:7" x14ac:dyDescent="0.25">
      <c r="A124">
        <v>79</v>
      </c>
      <c r="B124" t="s">
        <v>100</v>
      </c>
    </row>
    <row r="125" spans="1:7" x14ac:dyDescent="0.25">
      <c r="A125">
        <v>80</v>
      </c>
      <c r="B125" t="s">
        <v>101</v>
      </c>
    </row>
    <row r="126" spans="1:7" x14ac:dyDescent="0.25">
      <c r="A126">
        <v>81</v>
      </c>
      <c r="B126" t="s">
        <v>102</v>
      </c>
    </row>
    <row r="127" spans="1:7" x14ac:dyDescent="0.25">
      <c r="A127">
        <v>82</v>
      </c>
      <c r="B127" t="s">
        <v>103</v>
      </c>
    </row>
    <row r="128" spans="1:7" x14ac:dyDescent="0.25">
      <c r="A128">
        <v>83</v>
      </c>
      <c r="B128" t="s">
        <v>104</v>
      </c>
    </row>
  </sheetData>
  <phoneticPr fontId="1" type="noConversion"/>
  <conditionalFormatting sqref="U41:U54">
    <cfRule type="colorScale" priority="9">
      <colorScale>
        <cfvo type="min"/>
        <cfvo type="max"/>
        <color rgb="FFFFEF9C"/>
        <color rgb="FF63BE7B"/>
      </colorScale>
    </cfRule>
  </conditionalFormatting>
  <conditionalFormatting sqref="U55:U62">
    <cfRule type="colorScale" priority="8">
      <colorScale>
        <cfvo type="min"/>
        <cfvo type="max"/>
        <color rgb="FFFFEF9C"/>
        <color rgb="FF63BE7B"/>
      </colorScale>
    </cfRule>
  </conditionalFormatting>
  <conditionalFormatting sqref="U63:U70">
    <cfRule type="colorScale" priority="7">
      <colorScale>
        <cfvo type="min"/>
        <cfvo type="max"/>
        <color rgb="FFFFEF9C"/>
        <color rgb="FF63BE7B"/>
      </colorScale>
    </cfRule>
  </conditionalFormatting>
  <conditionalFormatting sqref="U71:U78">
    <cfRule type="colorScale" priority="6">
      <colorScale>
        <cfvo type="min"/>
        <cfvo type="max"/>
        <color rgb="FFFFEF9C"/>
        <color rgb="FF63BE7B"/>
      </colorScale>
    </cfRule>
  </conditionalFormatting>
  <conditionalFormatting sqref="U79:U86">
    <cfRule type="colorScale" priority="5">
      <colorScale>
        <cfvo type="min"/>
        <cfvo type="max"/>
        <color rgb="FFFFEF9C"/>
        <color rgb="FF63BE7B"/>
      </colorScale>
    </cfRule>
  </conditionalFormatting>
  <conditionalFormatting sqref="U87:U93">
    <cfRule type="colorScale" priority="4">
      <colorScale>
        <cfvo type="min"/>
        <cfvo type="max"/>
        <color rgb="FFFFEF9C"/>
        <color rgb="FF63BE7B"/>
      </colorScale>
    </cfRule>
  </conditionalFormatting>
  <conditionalFormatting sqref="U94:U99">
    <cfRule type="colorScale" priority="3">
      <colorScale>
        <cfvo type="min"/>
        <cfvo type="max"/>
        <color rgb="FFFFEF9C"/>
        <color rgb="FF63BE7B"/>
      </colorScale>
    </cfRule>
  </conditionalFormatting>
  <conditionalFormatting sqref="U100:U105">
    <cfRule type="colorScale" priority="2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van der loeff</dc:creator>
  <cp:lastModifiedBy>james van der loeff</cp:lastModifiedBy>
  <dcterms:created xsi:type="dcterms:W3CDTF">2026-07-08T03:11:31Z</dcterms:created>
  <dcterms:modified xsi:type="dcterms:W3CDTF">2026-07-10T18:15:09Z</dcterms:modified>
</cp:coreProperties>
</file>